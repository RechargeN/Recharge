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f934b3a21645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аук" sheetId="1" r:id="Rd086120235124ed7"/>
    <x:sheet xmlns:r="http://schemas.openxmlformats.org/officeDocument/2006/relationships" name="Справочники" sheetId="2" r:id="R84f1d4662b824dcb"/>
    <x:sheet xmlns:r="http://schemas.openxmlformats.org/officeDocument/2006/relationships" name="Product Categories" sheetId="3" r:id="R53245044937b4613"/>
    <x:sheet xmlns:r="http://schemas.openxmlformats.org/officeDocument/2006/relationships" name="Create Hub" sheetId="4" r:id="Rc5d8dbea8de5464b"/>
    <x:sheet xmlns:r="http://schemas.openxmlformats.org/officeDocument/2006/relationships" name="Identity Profiles" sheetId="5" r:id="R31cf85c730204684"/>
    <x:sheet xmlns:r="http://schemas.openxmlformats.org/officeDocument/2006/relationships" name="Booking" sheetId="6" r:id="Recca5c276c5e4f69"/>
    <x:sheet xmlns:r="http://schemas.openxmlformats.org/officeDocument/2006/relationships" name="AI" sheetId="7" r:id="Rc77e5cd43648487e"/>
    <x:sheet xmlns:r="http://schemas.openxmlformats.org/officeDocument/2006/relationships" name="Market Rollout" sheetId="8" r:id="R38a1402f81c34afa"/>
    <x:sheet xmlns:r="http://schemas.openxmlformats.org/officeDocument/2006/relationships" name="Mobile" sheetId="9" r:id="R856584c9bc034c69"/>
    <x:sheet xmlns:r="http://schemas.openxmlformats.org/officeDocument/2006/relationships" name="Backend" sheetId="10" r:id="R7a4614e7db5840dd"/>
    <x:sheet xmlns:r="http://schemas.openxmlformats.org/officeDocument/2006/relationships" name="API Contracts" sheetId="11" r:id="Rab15d63a19174fe2"/>
    <x:sheet xmlns:r="http://schemas.openxmlformats.org/officeDocument/2006/relationships" name="Security Privacy" sheetId="12" r:id="R7d3673686bb64b37"/>
    <x:sheet xmlns:r="http://schemas.openxmlformats.org/officeDocument/2006/relationships" name="Architecture ADR" sheetId="13" r:id="Rbef809dc50fd44ab"/>
    <x:sheet xmlns:r="http://schemas.openxmlformats.org/officeDocument/2006/relationships" name="Testing CI" sheetId="14" r:id="R32f666254a02443b"/>
    <x:sheet xmlns:r="http://schemas.openxmlformats.org/officeDocument/2006/relationships" name="Documentation" sheetId="15" r:id="Rbc6dbc006a3e4b9e"/>
    <x:sheet xmlns:r="http://schemas.openxmlformats.org/officeDocument/2006/relationships" name="Реестр файлов" sheetId="16" r:id="Ra742043bd9bf4ed8"/>
    <x:sheet xmlns:r="http://schemas.openxmlformats.org/officeDocument/2006/relationships" name="Этапность создания" sheetId="17" r:id="R35a3bb1048f542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%"/>
    <x:numFmt numFmtId="201" formatCode="yyyy-mm-dd"/>
    <x:numFmt numFmtId="202" formatCode="#,##0"/>
    <x:numFmt numFmtId="203" formatCode="yyyy-mm-dd hh:mm"/>
    <x:numFmt numFmtId="204" formatCode="0"/>
  </x:numFmts>
  <x:fonts count="18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8332C"/>
      <x:name val="Carlito"/>
    </x:font>
    <x:font>
      <x:b/>
      <x:sz val="11"/>
      <x:color rgb="FFFFFFFF"/>
      <x:name val="Carlito"/>
    </x:font>
    <x:font>
      <x:b/>
      <x:sz val="11"/>
      <x:color rgb="FF0B3028"/>
      <x:name val="Carlito"/>
    </x:font>
    <x:font>
      <x:b/>
      <x:sz val="11"/>
      <x:name val="Carlito"/>
    </x:font>
    <x:font>
      <x:sz val="10"/>
      <x:color rgb="FF18332C"/>
      <x:name val="Carlito"/>
    </x:font>
    <x:font>
      <x:b/>
      <x:sz val="10"/>
      <x:color rgb="FF2F6B5C"/>
      <x:name val="Carlito"/>
    </x:font>
    <x:font>
      <x:b/>
      <x:sz val="20"/>
      <x:color rgb="FFFFFFFF"/>
      <x:name val="Carlito"/>
    </x:font>
    <x:font>
      <x:sz val="11"/>
      <x:color rgb="FF24342F"/>
      <x:name val="Carlito"/>
    </x:font>
    <x:font>
      <x:i/>
      <x:sz val="10"/>
      <x:color rgb="FF17352F"/>
      <x:name val="Carlito"/>
    </x:font>
    <x:font>
      <x:b/>
      <x:sz val="11"/>
      <x:color rgb="FF0E4A3D"/>
      <x:name val="Carlito"/>
    </x:font>
    <x:font>
      <x:b/>
      <x:sz val="11"/>
      <x:color rgb="FF17352F"/>
      <x:name val="Carlito"/>
    </x:font>
    <x:font>
      <x:b/>
      <x:sz val="11"/>
      <x:color rgb="FF6B5200"/>
      <x:name val="Carlito"/>
    </x:font>
    <x:font>
      <x:sz val="9"/>
      <x:color rgb="FF17352F"/>
      <x:name val="Carlito"/>
    </x:font>
    <x:font>
      <x:b/>
      <x:sz val="11"/>
      <x:color rgb="FFFFFFFF"/>
      <x:name val="Aptos"/>
    </x:font>
    <x:font>
      <x:sz val="11"/>
      <x:name val="Aptos"/>
    </x:font>
    <x:font>
      <x:sz val="9"/>
      <x:color rgb="FF17352F"/>
      <x:name val="Aptos"/>
    </x:font>
  </x:fonts>
  <x:fills count="20">
    <x:fill>
      <x:patternFill patternType="none"/>
    </x:fill>
    <x:fill>
      <x:patternFill patternType="gray125"/>
    </x:fill>
    <x:fill>
      <x:patternFill patternType="solid">
        <x:fgColor rgb="FF0B3028"/>
      </x:patternFill>
    </x:fill>
    <x:fill>
      <x:patternFill patternType="solid">
        <x:fgColor rgb="FFDDEBE6"/>
      </x:patternFill>
    </x:fill>
    <x:fill>
      <x:patternFill patternType="solid">
        <x:fgColor rgb="FFD5A63C"/>
      </x:patternFill>
    </x:fill>
    <x:fill>
      <x:patternFill patternType="solid">
        <x:fgColor rgb="FFFFF2CC"/>
      </x:patternFill>
    </x:fill>
    <x:fill>
      <x:patternFill patternType="solid">
        <x:fgColor rgb="FFF4CCCC"/>
      </x:patternFill>
    </x:fill>
    <x:fill>
      <x:patternFill patternType="solid">
        <x:fgColor rgb="FFE7ECEA"/>
      </x:patternFill>
    </x:fill>
    <x:fill>
      <x:patternFill patternType="solid">
        <x:fgColor rgb="FFD9EAF7"/>
      </x:patternFill>
    </x:fill>
    <x:fill>
      <x:patternFill patternType="solid">
        <x:fgColor rgb="FFE4D9F7"/>
      </x:patternFill>
    </x:fill>
    <x:fill>
      <x:patternFill patternType="solid">
        <x:fgColor rgb="FFF4F8F6"/>
      </x:patternFill>
    </x:fill>
    <x:fill>
      <x:patternFill patternType="solid">
        <x:fgColor rgb="FFD9AA31"/>
      </x:patternFill>
    </x:fill>
    <x:fill>
      <x:patternFill patternType="solid">
        <x:fgColor rgb="FFF4F8F6"/>
      </x:patternFill>
    </x:fill>
    <x:fill>
      <x:patternFill patternType="solid">
        <x:fgColor rgb="FF0B3028"/>
      </x:patternFill>
    </x:fill>
    <x:fill>
      <x:patternFill patternType="solid">
        <x:fgColor rgb="FFDCEBE6"/>
      </x:patternFill>
    </x:fill>
    <x:fill>
      <x:patternFill patternType="solid">
        <x:fgColor rgb="FFEEF2F1"/>
      </x:patternFill>
    </x:fill>
    <x:fill>
      <x:patternFill patternType="solid">
        <x:fgColor rgb="FFFFF1C7"/>
      </x:patternFill>
    </x:fill>
    <x:fill>
      <x:patternFill patternType="solid">
        <x:fgColor rgb="FF0E4A3D"/>
      </x:patternFill>
    </x:fill>
    <x:fill>
      <x:patternFill patternType="solid">
        <x:fgColor rgb="FFCBEAF6"/>
      </x:patternFill>
    </x:fill>
    <x:fill>
      <x:patternFill patternType="solid">
        <x:fgColor rgb="FFFFFFFF"/>
      </x:patternFill>
    </x:fill>
  </x:fills>
  <x:borders count="51">
    <x:border/>
    <x:border>
      <x:bottom style="thin">
        <x:color rgb="FFE7ECEA"/>
      </x:bottom>
    </x:border>
    <x:border>
      <x:top style="thin">
        <x:color rgb="FFE7ECEA"/>
      </x:top>
      <x:bottom style="thin">
        <x:color rgb="FFE7ECEA"/>
      </x:bottom>
    </x:border>
    <x:border>
      <x:top style="thin">
        <x:color rgb="FFE7ECEA"/>
      </x:top>
    </x:border>
    <x:border>
      <x:left style="thick">
        <x:color rgb="FFD5A63C"/>
      </x:left>
      <x:top style="thick">
        <x:color rgb="FFD5A63C"/>
      </x:top>
    </x:border>
    <x:border>
      <x:top style="thick">
        <x:color rgb="FFD5A63C"/>
      </x:top>
    </x:border>
    <x:border>
      <x:right style="thick">
        <x:color rgb="FFD5A63C"/>
      </x:right>
      <x:top style="thick">
        <x:color rgb="FFD5A63C"/>
      </x:top>
    </x:border>
    <x:border>
      <x:left style="thick">
        <x:color rgb="FFD5A63C"/>
      </x:left>
    </x:border>
    <x:border>
      <x:right style="thick">
        <x:color rgb="FFD5A63C"/>
      </x:right>
    </x:border>
    <x:border>
      <x:left style="thick">
        <x:color rgb="FFD5A63C"/>
      </x:left>
      <x:bottom style="thick">
        <x:color rgb="FFD5A63C"/>
      </x:bottom>
    </x:border>
    <x:border>
      <x:bottom style="thick">
        <x:color rgb="FFD5A63C"/>
      </x:bottom>
    </x:border>
    <x:border>
      <x:right style="thick">
        <x:color rgb="FFD5A63C"/>
      </x:right>
      <x:bottom style="thick">
        <x:color rgb="FFD5A63C"/>
      </x:bottom>
    </x:border>
    <x:border>
      <x:left style="medium">
        <x:color rgb="FF2F6B5C"/>
      </x:left>
      <x:top style="medium">
        <x:color rgb="FF2F6B5C"/>
      </x:top>
    </x:border>
    <x:border>
      <x:top style="medium">
        <x:color rgb="FF2F6B5C"/>
      </x:top>
    </x:border>
    <x:border>
      <x:right style="medium">
        <x:color rgb="FF2F6B5C"/>
      </x:right>
      <x:top style="medium">
        <x:color rgb="FF2F6B5C"/>
      </x:top>
    </x:border>
    <x:border>
      <x:left style="medium">
        <x:color rgb="FF2F6B5C"/>
      </x:left>
    </x:border>
    <x:border>
      <x:right style="medium">
        <x:color rgb="FF2F6B5C"/>
      </x:right>
    </x:border>
    <x:border>
      <x:left style="medium">
        <x:color rgb="FF2F6B5C"/>
      </x:left>
      <x:bottom style="medium">
        <x:color rgb="FF2F6B5C"/>
      </x:bottom>
    </x:border>
    <x:border>
      <x:bottom style="medium">
        <x:color rgb="FF2F6B5C"/>
      </x:bottom>
    </x:border>
    <x:border>
      <x:right style="medium">
        <x:color rgb="FF2F6B5C"/>
      </x:right>
      <x:bottom style="medium">
        <x:color rgb="FF2F6B5C"/>
      </x:bottom>
    </x:border>
    <x:border>
      <x:left style="thin">
        <x:color rgb="FFE7ECEA"/>
      </x:left>
      <x:top style="thin">
        <x:color rgb="FFE7ECEA"/>
      </x:top>
    </x:border>
    <x:border>
      <x:right style="thin">
        <x:color rgb="FFE7ECEA"/>
      </x:right>
      <x:top style="thin">
        <x:color rgb="FFE7ECEA"/>
      </x:top>
    </x:border>
    <x:border>
      <x:left style="thin">
        <x:color rgb="FFE7ECEA"/>
      </x:left>
    </x:border>
    <x:border>
      <x:right style="thin">
        <x:color rgb="FFE7ECEA"/>
      </x:right>
    </x:border>
    <x:border>
      <x:left style="thin">
        <x:color rgb="FFE7ECEA"/>
      </x:left>
      <x:bottom style="thin">
        <x:color rgb="FFE7ECEA"/>
      </x:bottom>
    </x:border>
    <x:border>
      <x:right style="thin">
        <x:color rgb="FFE7ECEA"/>
      </x:right>
      <x:bottom style="thin">
        <x:color rgb="FFE7ECEA"/>
      </x:bottom>
    </x:border>
    <x:border>
      <x:left style="thin">
        <x:color rgb="FFC8D4CF"/>
      </x:left>
      <x:top style="thin">
        <x:color rgb="FFC8D4CF"/>
      </x:top>
    </x:border>
    <x:border>
      <x:top style="thin">
        <x:color rgb="FFC8D4CF"/>
      </x:top>
    </x:border>
    <x:border>
      <x:right style="thin">
        <x:color rgb="FFC8D4CF"/>
      </x:right>
      <x:top style="thin">
        <x:color rgb="FFC8D4CF"/>
      </x:top>
    </x:border>
    <x:border>
      <x:left style="thin">
        <x:color rgb="FFC8D4CF"/>
      </x:left>
    </x:border>
    <x:border>
      <x:right style="thin">
        <x:color rgb="FFC8D4CF"/>
      </x:right>
    </x:border>
    <x:border>
      <x:left style="thin">
        <x:color rgb="FFC8D4CF"/>
      </x:left>
      <x:bottom style="thin">
        <x:color rgb="FFC8D4CF"/>
      </x:bottom>
    </x:border>
    <x:border>
      <x:bottom style="thin">
        <x:color rgb="FFC8D4CF"/>
      </x:bottom>
    </x:border>
    <x:border>
      <x:right style="thin">
        <x:color rgb="FFC8D4CF"/>
      </x:right>
      <x:bottom style="thin">
        <x:color rgb="FFC8D4CF"/>
      </x:bottom>
    </x:border>
    <x:border>
      <x:left style="thin">
        <x:color rgb="FF9FB7B0"/>
      </x:left>
      <x:top style="thin">
        <x:color rgb="FF9FB7B0"/>
      </x:top>
      <x:bottom style="thin">
        <x:color rgb="FF9FB7B0"/>
      </x:bottom>
    </x:border>
    <x:border>
      <x:right style="thin">
        <x:color rgb="FF9FB7B0"/>
      </x:right>
      <x:top style="thin">
        <x:color rgb="FF9FB7B0"/>
      </x:top>
      <x:bottom style="thin">
        <x:color rgb="FF9FB7B0"/>
      </x:bottom>
    </x:border>
    <x:border>
      <x:top style="thin">
        <x:color rgb="FF9FB7B0"/>
      </x:top>
      <x:bottom style="thin">
        <x:color rgb="FF9FB7B0"/>
      </x:bottom>
    </x:border>
    <x:border>
      <x:left style="thin">
        <x:color rgb="FFD6B656"/>
      </x:left>
      <x:top style="thin">
        <x:color rgb="FFD6B656"/>
      </x:top>
      <x:bottom style="thin">
        <x:color rgb="FFD6B656"/>
      </x:bottom>
    </x:border>
    <x:border>
      <x:top style="thin">
        <x:color rgb="FFD6B656"/>
      </x:top>
      <x:bottom style="thin">
        <x:color rgb="FFD6B656"/>
      </x:bottom>
    </x:border>
    <x:border>
      <x:right style="thin">
        <x:color rgb="FFD6B656"/>
      </x:right>
      <x:top style="thin">
        <x:color rgb="FFD6B656"/>
      </x:top>
      <x:bottom style="thin">
        <x:color rgb="FFD6B656"/>
      </x:bottom>
    </x:border>
    <x:border>
      <x:bottom style="thin">
        <x:color rgb="FFD7E5E1"/>
      </x:bottom>
    </x:border>
    <x:border>
      <x:top style="thin">
        <x:color rgb="FFD7E5E1"/>
      </x:top>
      <x:bottom style="thin">
        <x:color rgb="FFD7E5E1"/>
      </x:bottom>
    </x:border>
    <x:border>
      <x:top style="thin">
        <x:color rgb="FFD7E5E1"/>
      </x:top>
    </x:border>
    <x:border>
      <x:left style="medium">
        <x:color rgb="FF0B3028"/>
      </x:left>
      <x:top style="medium">
        <x:color rgb="FF0B3028"/>
      </x:top>
    </x:border>
    <x:border>
      <x:top style="medium">
        <x:color rgb="FF0B3028"/>
      </x:top>
    </x:border>
    <x:border>
      <x:right style="medium">
        <x:color rgb="FF0B3028"/>
      </x:right>
      <x:top style="medium">
        <x:color rgb="FF0B3028"/>
      </x:top>
    </x:border>
    <x:border>
      <x:left style="medium">
        <x:color rgb="FF0B3028"/>
      </x:left>
    </x:border>
    <x:border>
      <x:right style="medium">
        <x:color rgb="FF0B3028"/>
      </x:right>
    </x:border>
    <x:border>
      <x:left style="medium">
        <x:color rgb="FF0B3028"/>
      </x:left>
      <x:bottom style="medium">
        <x:color rgb="FF0B3028"/>
      </x:bottom>
    </x:border>
    <x:border>
      <x:bottom style="medium">
        <x:color rgb="FF0B3028"/>
      </x:bottom>
    </x:border>
    <x:border>
      <x:right style="medium">
        <x:color rgb="FF0B3028"/>
      </x:right>
      <x:bottom style="medium">
        <x:color rgb="FF0B3028"/>
      </x:bottom>
    </x:border>
  </x:borders>
  <x:cellStyleXfs count="1">
    <x:xf numFmtId="0" fontId="0" fillId="0" borderId="0"/>
  </x:cellStyleXfs>
  <x:cellXfs count="38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/>
    <x:xf numFmtId="200" fontId="5" fillId="3" borderId="0" xfId="0" applyNumberFormat="1" applyFont="1" applyFill="1" applyBorder="1"/>
    <x:xf numFmtId="200" fontId="5" fillId="3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0" borderId="2" xfId="0" applyNumberFormat="1" applyFont="1" applyFill="1" applyBorder="1"/>
    <x:xf numFmtId="0" fontId="6" fillId="0" borderId="3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2" xfId="0" applyNumberFormat="1" applyFont="1" applyFill="1" applyBorder="1" applyAlignment="1">
      <x:alignment wrapText="1"/>
    </x:xf>
    <x:xf numFmtId="0" fontId="6" fillId="0" borderId="3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0" fontId="7" fillId="0" borderId="2" xfId="0" applyNumberFormat="1" applyFont="1" applyFill="1" applyBorder="1" applyAlignment="1">
      <x:alignment vertical="top" wrapText="1"/>
    </x:xf>
    <x:xf numFmtId="0" fontId="7" fillId="0" borderId="3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horizontal="center" vertical="top" wrapText="1"/>
    </x:xf>
    <x:xf numFmtId="0" fontId="6" fillId="0" borderId="2" xfId="0" applyNumberFormat="1" applyFont="1" applyFill="1" applyBorder="1" applyAlignment="1">
      <x:alignment horizontal="center" vertical="top" wrapText="1"/>
    </x:xf>
    <x:xf numFmtId="0" fontId="6" fillId="0" borderId="3" xfId="0" applyNumberFormat="1" applyFont="1" applyFill="1" applyBorder="1" applyAlignment="1">
      <x:alignment horizontal="center" vertical="top" wrapText="1"/>
    </x:xf>
    <x:xf numFmtId="201" fontId="6" fillId="0" borderId="1" xfId="0" applyNumberFormat="1" applyFont="1" applyFill="1" applyBorder="1" applyAlignment="1">
      <x:alignment vertical="top" wrapText="1"/>
    </x:xf>
    <x:xf numFmtId="201" fontId="6" fillId="0" borderId="2" xfId="0" applyNumberFormat="1" applyFont="1" applyFill="1" applyBorder="1" applyAlignment="1">
      <x:alignment vertical="top" wrapText="1"/>
    </x:xf>
    <x:xf numFmtId="201" fontId="6" fillId="0" borderId="3" xfId="0" applyNumberFormat="1" applyFont="1" applyFill="1" applyBorder="1" applyAlignment="1">
      <x:alignment vertical="top" wrapText="1"/>
    </x:xf>
    <x:xf numFmtId="200" fontId="6" fillId="0" borderId="1" xfId="0" applyNumberFormat="1" applyFont="1" applyFill="1" applyBorder="1" applyAlignment="1">
      <x:alignment vertical="top" wrapText="1"/>
    </x:xf>
    <x:xf numFmtId="200" fontId="6" fillId="0" borderId="2" xfId="0" applyNumberFormat="1" applyFont="1" applyFill="1" applyBorder="1" applyAlignment="1">
      <x:alignment vertical="top" wrapText="1"/>
    </x:xf>
    <x:xf numFmtId="200" fontId="6" fillId="0" borderId="3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0" borderId="1" xfId="0" applyNumberFormat="1" applyFont="1" applyFill="1" applyBorder="1"/>
    <x:xf numFmtId="202" fontId="0" fillId="0" borderId="1" xfId="0" applyNumberFormat="1" applyFont="1" applyFill="1" applyBorder="1"/>
    <x:xf numFmtId="203" fontId="0" fillId="0" borderId="1" xfId="0" applyNumberFormat="1" applyFont="1" applyFill="1" applyBorder="1"/>
    <x:xf numFmtId="0" fontId="0" fillId="0" borderId="2" xfId="0" applyNumberFormat="1" applyFont="1" applyFill="1" applyBorder="1"/>
    <x:xf numFmtId="202" fontId="0" fillId="0" borderId="2" xfId="0" applyNumberFormat="1" applyFont="1" applyFill="1" applyBorder="1"/>
    <x:xf numFmtId="203" fontId="0" fillId="0" borderId="2" xfId="0" applyNumberFormat="1" applyFont="1" applyFill="1" applyBorder="1"/>
    <x:xf numFmtId="0" fontId="0" fillId="0" borderId="3" xfId="0" applyNumberFormat="1" applyFont="1" applyFill="1" applyBorder="1"/>
    <x:xf numFmtId="202" fontId="0" fillId="0" borderId="3" xfId="0" applyNumberFormat="1" applyFont="1" applyFill="1" applyBorder="1"/>
    <x:xf numFmtId="203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202" fontId="0" fillId="0" borderId="2" xfId="0" applyNumberFormat="1" applyFont="1" applyFill="1" applyBorder="1" applyAlignment="1">
      <x:alignment wrapText="1"/>
    </x:xf>
    <x:xf numFmtId="203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202" fontId="0" fillId="0" borderId="3" xfId="0" applyNumberFormat="1" applyFont="1" applyFill="1" applyBorder="1" applyAlignment="1">
      <x:alignment wrapText="1"/>
    </x:xf>
    <x:xf numFmtId="203" fontId="0" fillId="0" borderId="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3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2" fontId="0" fillId="0" borderId="2" xfId="0" applyNumberFormat="1" applyFont="1" applyFill="1" applyBorder="1" applyAlignment="1">
      <x:alignment vertical="top" wrapText="1"/>
    </x:xf>
    <x:xf numFmtId="203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202" fontId="0" fillId="0" borderId="3" xfId="0" applyNumberFormat="1" applyFont="1" applyFill="1" applyBorder="1" applyAlignment="1">
      <x:alignment vertical="top" wrapText="1"/>
    </x:xf>
    <x:xf numFmtId="203" fontId="0" fillId="0" borderId="3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horizontal="center"/>
    </x:xf>
    <x:xf numFmtId="0" fontId="8" fillId="2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9" xfId="0" applyNumberFormat="1" applyFont="1" applyFill="1" applyBorder="1"/>
    <x:xf numFmtId="0" fontId="1" fillId="2" borderId="10" xfId="0" applyNumberFormat="1" applyFont="1" applyFill="1" applyBorder="1"/>
    <x:xf numFmtId="0" fontId="1" fillId="2" borderId="11" xfId="0" applyNumberFormat="1" applyFont="1" applyFill="1" applyBorder="1"/>
    <x:xf numFmtId="0" fontId="1" fillId="2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9" xfId="0" applyNumberFormat="1" applyFont="1" applyFill="1" applyBorder="1" applyAlignment="1">
      <x:alignment wrapText="1"/>
    </x:xf>
    <x:xf numFmtId="0" fontId="1" fillId="2" borderId="10" xfId="0" applyNumberFormat="1" applyFont="1" applyFill="1" applyBorder="1" applyAlignment="1">
      <x:alignment wrapText="1"/>
    </x:xf>
    <x:xf numFmtId="0" fontId="1" fillId="2" borderId="11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9" xfId="0" applyNumberFormat="1" applyFont="1" applyFill="1" applyBorder="1" applyAlignment="1">
      <x:alignment horizontal="center" wrapText="1"/>
    </x:xf>
    <x:xf numFmtId="0" fontId="1" fillId="2" borderId="10" xfId="0" applyNumberFormat="1" applyFont="1" applyFill="1" applyBorder="1" applyAlignment="1">
      <x:alignment horizontal="center" wrapText="1"/>
    </x:xf>
    <x:xf numFmtId="0" fontId="1" fillId="2" borderId="11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1" fillId="2" borderId="9" xfId="0" applyNumberFormat="1" applyFont="1" applyFill="1" applyBorder="1" applyAlignment="1">
      <x:alignment horizontal="center" vertical="center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/>
    <x:xf numFmtId="0" fontId="4" fillId="3" borderId="12" xfId="0" applyNumberFormat="1" applyFont="1" applyFill="1" applyBorder="1"/>
    <x:xf numFmtId="0" fontId="4" fillId="3" borderId="13" xfId="0" applyNumberFormat="1" applyFont="1" applyFill="1" applyBorder="1"/>
    <x:xf numFmtId="0" fontId="4" fillId="3" borderId="14" xfId="0" applyNumberFormat="1" applyFont="1" applyFill="1" applyBorder="1"/>
    <x:xf numFmtId="0" fontId="4" fillId="3" borderId="15" xfId="0" applyNumberFormat="1" applyFont="1" applyFill="1" applyBorder="1"/>
    <x:xf numFmtId="0" fontId="4" fillId="3" borderId="16" xfId="0" applyNumberFormat="1" applyFont="1" applyFill="1" applyBorder="1"/>
    <x:xf numFmtId="0" fontId="4" fillId="3" borderId="17" xfId="0" applyNumberFormat="1" applyFont="1" applyFill="1" applyBorder="1"/>
    <x:xf numFmtId="0" fontId="4" fillId="3" borderId="18" xfId="0" applyNumberFormat="1" applyFont="1" applyFill="1" applyBorder="1"/>
    <x:xf numFmtId="0" fontId="4" fillId="3" borderId="19" xfId="0" applyNumberFormat="1" applyFont="1" applyFill="1" applyBorder="1"/>
    <x:xf numFmtId="0" fontId="4" fillId="3" borderId="12" xfId="0" applyNumberFormat="1" applyFont="1" applyFill="1" applyBorder="1" applyAlignment="1">
      <x:alignment wrapText="1"/>
    </x:xf>
    <x:xf numFmtId="0" fontId="4" fillId="3" borderId="13" xfId="0" applyNumberFormat="1" applyFont="1" applyFill="1" applyBorder="1" applyAlignment="1">
      <x:alignment wrapText="1"/>
    </x:xf>
    <x:xf numFmtId="0" fontId="4" fillId="3" borderId="14" xfId="0" applyNumberFormat="1" applyFont="1" applyFill="1" applyBorder="1" applyAlignment="1">
      <x:alignment wrapText="1"/>
    </x:xf>
    <x:xf numFmtId="0" fontId="4" fillId="3" borderId="15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4" fillId="3" borderId="16" xfId="0" applyNumberFormat="1" applyFont="1" applyFill="1" applyBorder="1" applyAlignment="1">
      <x:alignment wrapText="1"/>
    </x:xf>
    <x:xf numFmtId="0" fontId="4" fillId="3" borderId="17" xfId="0" applyNumberFormat="1" applyFont="1" applyFill="1" applyBorder="1" applyAlignment="1">
      <x:alignment wrapText="1"/>
    </x:xf>
    <x:xf numFmtId="0" fontId="4" fillId="3" borderId="18" xfId="0" applyNumberFormat="1" applyFont="1" applyFill="1" applyBorder="1" applyAlignment="1">
      <x:alignment wrapText="1"/>
    </x:xf>
    <x:xf numFmtId="0" fontId="4" fillId="3" borderId="19" xfId="0" applyNumberFormat="1" applyFont="1" applyFill="1" applyBorder="1" applyAlignment="1">
      <x:alignment wrapText="1"/>
    </x:xf>
    <x:xf numFmtId="0" fontId="4" fillId="3" borderId="12" xfId="0" applyNumberFormat="1" applyFont="1" applyFill="1" applyBorder="1" applyAlignment="1">
      <x:alignment horizontal="center" wrapText="1"/>
    </x:xf>
    <x:xf numFmtId="0" fontId="4" fillId="3" borderId="13" xfId="0" applyNumberFormat="1" applyFont="1" applyFill="1" applyBorder="1" applyAlignment="1">
      <x:alignment horizontal="center" wrapText="1"/>
    </x:xf>
    <x:xf numFmtId="0" fontId="4" fillId="3" borderId="14" xfId="0" applyNumberFormat="1" applyFont="1" applyFill="1" applyBorder="1" applyAlignment="1">
      <x:alignment horizontal="center" wrapText="1"/>
    </x:xf>
    <x:xf numFmtId="0" fontId="4" fillId="3" borderId="15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16" xfId="0" applyNumberFormat="1" applyFont="1" applyFill="1" applyBorder="1" applyAlignment="1">
      <x:alignment horizontal="center" wrapText="1"/>
    </x:xf>
    <x:xf numFmtId="0" fontId="4" fillId="3" borderId="17" xfId="0" applyNumberFormat="1" applyFont="1" applyFill="1" applyBorder="1" applyAlignment="1">
      <x:alignment horizontal="center" wrapText="1"/>
    </x:xf>
    <x:xf numFmtId="0" fontId="4" fillId="3" borderId="18" xfId="0" applyNumberFormat="1" applyFont="1" applyFill="1" applyBorder="1" applyAlignment="1">
      <x:alignment horizontal="center" wrapText="1"/>
    </x:xf>
    <x:xf numFmtId="0" fontId="4" fillId="3" borderId="19" xfId="0" applyNumberFormat="1" applyFont="1" applyFill="1" applyBorder="1" applyAlignment="1">
      <x:alignment horizontal="center" wrapText="1"/>
    </x:xf>
    <x:xf numFmtId="0" fontId="4" fillId="3" borderId="12" xfId="0" applyNumberFormat="1" applyFont="1" applyFill="1" applyBorder="1" applyAlignment="1">
      <x:alignment horizontal="center" vertical="center" wrapText="1"/>
    </x:xf>
    <x:xf numFmtId="0" fontId="4" fillId="3" borderId="13" xfId="0" applyNumberFormat="1" applyFont="1" applyFill="1" applyBorder="1" applyAlignment="1">
      <x:alignment horizontal="center" vertical="center" wrapText="1"/>
    </x:xf>
    <x:xf numFmtId="0" fontId="4" fillId="3" borderId="14" xfId="0" applyNumberFormat="1" applyFont="1" applyFill="1" applyBorder="1" applyAlignment="1">
      <x:alignment horizontal="center" vertical="center" wrapText="1"/>
    </x:xf>
    <x:xf numFmtId="0" fontId="4" fillId="3" borderId="15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3" borderId="16" xfId="0" applyNumberFormat="1" applyFont="1" applyFill="1" applyBorder="1" applyAlignment="1">
      <x:alignment horizontal="center" vertical="center" wrapText="1"/>
    </x:xf>
    <x:xf numFmtId="0" fontId="4" fillId="3" borderId="17" xfId="0" applyNumberFormat="1" applyFont="1" applyFill="1" applyBorder="1" applyAlignment="1">
      <x:alignment horizontal="center" vertical="center" wrapText="1"/>
    </x:xf>
    <x:xf numFmtId="0" fontId="4" fillId="3" borderId="18" xfId="0" applyNumberFormat="1" applyFont="1" applyFill="1" applyBorder="1" applyAlignment="1">
      <x:alignment horizontal="center" vertical="center" wrapText="1"/>
    </x:xf>
    <x:xf numFmtId="0" fontId="4" fillId="3" borderId="19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12" xfId="0" applyNumberFormat="1" applyFont="1" applyFill="1" applyBorder="1"/>
    <x:xf numFmtId="0" fontId="4" fillId="8" borderId="13" xfId="0" applyNumberFormat="1" applyFont="1" applyFill="1" applyBorder="1"/>
    <x:xf numFmtId="0" fontId="4" fillId="8" borderId="14" xfId="0" applyNumberFormat="1" applyFont="1" applyFill="1" applyBorder="1"/>
    <x:xf numFmtId="0" fontId="4" fillId="8" borderId="15" xfId="0" applyNumberFormat="1" applyFont="1" applyFill="1" applyBorder="1"/>
    <x:xf numFmtId="0" fontId="4" fillId="8" borderId="16" xfId="0" applyNumberFormat="1" applyFont="1" applyFill="1" applyBorder="1"/>
    <x:xf numFmtId="0" fontId="4" fillId="8" borderId="17" xfId="0" applyNumberFormat="1" applyFont="1" applyFill="1" applyBorder="1"/>
    <x:xf numFmtId="0" fontId="4" fillId="8" borderId="18" xfId="0" applyNumberFormat="1" applyFont="1" applyFill="1" applyBorder="1"/>
    <x:xf numFmtId="0" fontId="4" fillId="8" borderId="19" xfId="0" applyNumberFormat="1" applyFont="1" applyFill="1" applyBorder="1"/>
    <x:xf numFmtId="0" fontId="4" fillId="8" borderId="12" xfId="0" applyNumberFormat="1" applyFont="1" applyFill="1" applyBorder="1" applyAlignment="1">
      <x:alignment wrapText="1"/>
    </x:xf>
    <x:xf numFmtId="0" fontId="4" fillId="8" borderId="13" xfId="0" applyNumberFormat="1" applyFont="1" applyFill="1" applyBorder="1" applyAlignment="1">
      <x:alignment wrapText="1"/>
    </x:xf>
    <x:xf numFmtId="0" fontId="4" fillId="8" borderId="14" xfId="0" applyNumberFormat="1" applyFont="1" applyFill="1" applyBorder="1" applyAlignment="1">
      <x:alignment wrapText="1"/>
    </x:xf>
    <x:xf numFmtId="0" fontId="4" fillId="8" borderId="15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wrapText="1"/>
    </x:xf>
    <x:xf numFmtId="0" fontId="4" fillId="8" borderId="16" xfId="0" applyNumberFormat="1" applyFont="1" applyFill="1" applyBorder="1" applyAlignment="1">
      <x:alignment wrapText="1"/>
    </x:xf>
    <x:xf numFmtId="0" fontId="4" fillId="8" borderId="17" xfId="0" applyNumberFormat="1" applyFont="1" applyFill="1" applyBorder="1" applyAlignment="1">
      <x:alignment wrapText="1"/>
    </x:xf>
    <x:xf numFmtId="0" fontId="4" fillId="8" borderId="18" xfId="0" applyNumberFormat="1" applyFont="1" applyFill="1" applyBorder="1" applyAlignment="1">
      <x:alignment wrapText="1"/>
    </x:xf>
    <x:xf numFmtId="0" fontId="4" fillId="8" borderId="19" xfId="0" applyNumberFormat="1" applyFont="1" applyFill="1" applyBorder="1" applyAlignment="1">
      <x:alignment wrapText="1"/>
    </x:xf>
    <x:xf numFmtId="0" fontId="4" fillId="8" borderId="12" xfId="0" applyNumberFormat="1" applyFont="1" applyFill="1" applyBorder="1" applyAlignment="1">
      <x:alignment horizontal="center" wrapText="1"/>
    </x:xf>
    <x:xf numFmtId="0" fontId="4" fillId="8" borderId="13" xfId="0" applyNumberFormat="1" applyFont="1" applyFill="1" applyBorder="1" applyAlignment="1">
      <x:alignment horizontal="center" wrapText="1"/>
    </x:xf>
    <x:xf numFmtId="0" fontId="4" fillId="8" borderId="14" xfId="0" applyNumberFormat="1" applyFont="1" applyFill="1" applyBorder="1" applyAlignment="1">
      <x:alignment horizontal="center" wrapText="1"/>
    </x:xf>
    <x:xf numFmtId="0" fontId="4" fillId="8" borderId="15" xfId="0" applyNumberFormat="1" applyFont="1" applyFill="1" applyBorder="1" applyAlignment="1">
      <x:alignment horizontal="center" wrapText="1"/>
    </x:xf>
    <x:xf numFmtId="0" fontId="4" fillId="8" borderId="0" xfId="0" applyNumberFormat="1" applyFont="1" applyFill="1" applyBorder="1" applyAlignment="1">
      <x:alignment horizontal="center" wrapText="1"/>
    </x:xf>
    <x:xf numFmtId="0" fontId="4" fillId="8" borderId="16" xfId="0" applyNumberFormat="1" applyFont="1" applyFill="1" applyBorder="1" applyAlignment="1">
      <x:alignment horizontal="center" wrapText="1"/>
    </x:xf>
    <x:xf numFmtId="0" fontId="4" fillId="8" borderId="17" xfId="0" applyNumberFormat="1" applyFont="1" applyFill="1" applyBorder="1" applyAlignment="1">
      <x:alignment horizontal="center" wrapText="1"/>
    </x:xf>
    <x:xf numFmtId="0" fontId="4" fillId="8" borderId="18" xfId="0" applyNumberFormat="1" applyFont="1" applyFill="1" applyBorder="1" applyAlignment="1">
      <x:alignment horizontal="center" wrapText="1"/>
    </x:xf>
    <x:xf numFmtId="0" fontId="4" fillId="8" borderId="19" xfId="0" applyNumberFormat="1" applyFont="1" applyFill="1" applyBorder="1" applyAlignment="1">
      <x:alignment horizontal="center" wrapText="1"/>
    </x:xf>
    <x:xf numFmtId="0" fontId="4" fillId="8" borderId="12" xfId="0" applyNumberFormat="1" applyFont="1" applyFill="1" applyBorder="1" applyAlignment="1">
      <x:alignment horizontal="center" vertical="center" wrapText="1"/>
    </x:xf>
    <x:xf numFmtId="0" fontId="4" fillId="8" borderId="13" xfId="0" applyNumberFormat="1" applyFont="1" applyFill="1" applyBorder="1" applyAlignment="1">
      <x:alignment horizontal="center" vertical="center" wrapText="1"/>
    </x:xf>
    <x:xf numFmtId="0" fontId="4" fillId="8" borderId="14" xfId="0" applyNumberFormat="1" applyFont="1" applyFill="1" applyBorder="1" applyAlignment="1">
      <x:alignment horizontal="center" vertical="center" wrapText="1"/>
    </x:xf>
    <x:xf numFmtId="0" fontId="4" fillId="8" borderId="15" xfId="0" applyNumberFormat="1" applyFont="1" applyFill="1" applyBorder="1" applyAlignment="1">
      <x:alignment horizontal="center" vertical="center" wrapText="1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4" fillId="8" borderId="16" xfId="0" applyNumberFormat="1" applyFont="1" applyFill="1" applyBorder="1" applyAlignment="1">
      <x:alignment horizontal="center" vertical="center" wrapText="1"/>
    </x:xf>
    <x:xf numFmtId="0" fontId="4" fillId="8" borderId="17" xfId="0" applyNumberFormat="1" applyFont="1" applyFill="1" applyBorder="1" applyAlignment="1">
      <x:alignment horizontal="center" vertical="center" wrapText="1"/>
    </x:xf>
    <x:xf numFmtId="0" fontId="4" fillId="8" borderId="18" xfId="0" applyNumberFormat="1" applyFont="1" applyFill="1" applyBorder="1" applyAlignment="1">
      <x:alignment horizontal="center" vertical="center" wrapText="1"/>
    </x:xf>
    <x:xf numFmtId="0" fontId="4" fillId="8" borderId="19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12" xfId="0" applyNumberFormat="1" applyFont="1" applyFill="1" applyBorder="1"/>
    <x:xf numFmtId="0" fontId="4" fillId="9" borderId="13" xfId="0" applyNumberFormat="1" applyFont="1" applyFill="1" applyBorder="1"/>
    <x:xf numFmtId="0" fontId="4" fillId="9" borderId="14" xfId="0" applyNumberFormat="1" applyFont="1" applyFill="1" applyBorder="1"/>
    <x:xf numFmtId="0" fontId="4" fillId="9" borderId="15" xfId="0" applyNumberFormat="1" applyFont="1" applyFill="1" applyBorder="1"/>
    <x:xf numFmtId="0" fontId="4" fillId="9" borderId="16" xfId="0" applyNumberFormat="1" applyFont="1" applyFill="1" applyBorder="1"/>
    <x:xf numFmtId="0" fontId="4" fillId="9" borderId="17" xfId="0" applyNumberFormat="1" applyFont="1" applyFill="1" applyBorder="1"/>
    <x:xf numFmtId="0" fontId="4" fillId="9" borderId="18" xfId="0" applyNumberFormat="1" applyFont="1" applyFill="1" applyBorder="1"/>
    <x:xf numFmtId="0" fontId="4" fillId="9" borderId="19" xfId="0" applyNumberFormat="1" applyFont="1" applyFill="1" applyBorder="1"/>
    <x:xf numFmtId="0" fontId="4" fillId="9" borderId="12" xfId="0" applyNumberFormat="1" applyFont="1" applyFill="1" applyBorder="1" applyAlignment="1">
      <x:alignment wrapText="1"/>
    </x:xf>
    <x:xf numFmtId="0" fontId="4" fillId="9" borderId="13" xfId="0" applyNumberFormat="1" applyFont="1" applyFill="1" applyBorder="1" applyAlignment="1">
      <x:alignment wrapText="1"/>
    </x:xf>
    <x:xf numFmtId="0" fontId="4" fillId="9" borderId="14" xfId="0" applyNumberFormat="1" applyFont="1" applyFill="1" applyBorder="1" applyAlignment="1">
      <x:alignment wrapText="1"/>
    </x:xf>
    <x:xf numFmtId="0" fontId="4" fillId="9" borderId="15" xfId="0" applyNumberFormat="1" applyFont="1" applyFill="1" applyBorder="1" applyAlignment="1">
      <x:alignment wrapText="1"/>
    </x:xf>
    <x:xf numFmtId="0" fontId="4" fillId="9" borderId="0" xfId="0" applyNumberFormat="1" applyFont="1" applyFill="1" applyBorder="1" applyAlignment="1">
      <x:alignment wrapText="1"/>
    </x:xf>
    <x:xf numFmtId="0" fontId="4" fillId="9" borderId="16" xfId="0" applyNumberFormat="1" applyFont="1" applyFill="1" applyBorder="1" applyAlignment="1">
      <x:alignment wrapText="1"/>
    </x:xf>
    <x:xf numFmtId="0" fontId="4" fillId="9" borderId="17" xfId="0" applyNumberFormat="1" applyFont="1" applyFill="1" applyBorder="1" applyAlignment="1">
      <x:alignment wrapText="1"/>
    </x:xf>
    <x:xf numFmtId="0" fontId="4" fillId="9" borderId="18" xfId="0" applyNumberFormat="1" applyFont="1" applyFill="1" applyBorder="1" applyAlignment="1">
      <x:alignment wrapText="1"/>
    </x:xf>
    <x:xf numFmtId="0" fontId="4" fillId="9" borderId="19" xfId="0" applyNumberFormat="1" applyFont="1" applyFill="1" applyBorder="1" applyAlignment="1">
      <x:alignment wrapText="1"/>
    </x:xf>
    <x:xf numFmtId="0" fontId="4" fillId="9" borderId="12" xfId="0" applyNumberFormat="1" applyFont="1" applyFill="1" applyBorder="1" applyAlignment="1">
      <x:alignment horizontal="center" wrapText="1"/>
    </x:xf>
    <x:xf numFmtId="0" fontId="4" fillId="9" borderId="13" xfId="0" applyNumberFormat="1" applyFont="1" applyFill="1" applyBorder="1" applyAlignment="1">
      <x:alignment horizontal="center" wrapText="1"/>
    </x:xf>
    <x:xf numFmtId="0" fontId="4" fillId="9" borderId="14" xfId="0" applyNumberFormat="1" applyFont="1" applyFill="1" applyBorder="1" applyAlignment="1">
      <x:alignment horizontal="center" wrapText="1"/>
    </x:xf>
    <x:xf numFmtId="0" fontId="4" fillId="9" borderId="15" xfId="0" applyNumberFormat="1" applyFont="1" applyFill="1" applyBorder="1" applyAlignment="1">
      <x:alignment horizontal="center" wrapText="1"/>
    </x:xf>
    <x:xf numFmtId="0" fontId="4" fillId="9" borderId="0" xfId="0" applyNumberFormat="1" applyFont="1" applyFill="1" applyBorder="1" applyAlignment="1">
      <x:alignment horizontal="center" wrapText="1"/>
    </x:xf>
    <x:xf numFmtId="0" fontId="4" fillId="9" borderId="16" xfId="0" applyNumberFormat="1" applyFont="1" applyFill="1" applyBorder="1" applyAlignment="1">
      <x:alignment horizontal="center" wrapText="1"/>
    </x:xf>
    <x:xf numFmtId="0" fontId="4" fillId="9" borderId="17" xfId="0" applyNumberFormat="1" applyFont="1" applyFill="1" applyBorder="1" applyAlignment="1">
      <x:alignment horizontal="center" wrapText="1"/>
    </x:xf>
    <x:xf numFmtId="0" fontId="4" fillId="9" borderId="18" xfId="0" applyNumberFormat="1" applyFont="1" applyFill="1" applyBorder="1" applyAlignment="1">
      <x:alignment horizontal="center" wrapText="1"/>
    </x:xf>
    <x:xf numFmtId="0" fontId="4" fillId="9" borderId="19" xfId="0" applyNumberFormat="1" applyFont="1" applyFill="1" applyBorder="1" applyAlignment="1">
      <x:alignment horizontal="center" wrapText="1"/>
    </x:xf>
    <x:xf numFmtId="0" fontId="4" fillId="9" borderId="12" xfId="0" applyNumberFormat="1" applyFont="1" applyFill="1" applyBorder="1" applyAlignment="1">
      <x:alignment horizontal="center" vertical="center" wrapText="1"/>
    </x:xf>
    <x:xf numFmtId="0" fontId="4" fillId="9" borderId="13" xfId="0" applyNumberFormat="1" applyFont="1" applyFill="1" applyBorder="1" applyAlignment="1">
      <x:alignment horizontal="center" vertical="center" wrapText="1"/>
    </x:xf>
    <x:xf numFmtId="0" fontId="4" fillId="9" borderId="14" xfId="0" applyNumberFormat="1" applyFont="1" applyFill="1" applyBorder="1" applyAlignment="1">
      <x:alignment horizontal="center" vertical="center" wrapText="1"/>
    </x:xf>
    <x:xf numFmtId="0" fontId="4" fillId="9" borderId="15" xfId="0" applyNumberFormat="1" applyFont="1" applyFill="1" applyBorder="1" applyAlignment="1">
      <x:alignment horizontal="center" vertical="center" wrapText="1"/>
    </x:xf>
    <x:xf numFmtId="0" fontId="4" fillId="9" borderId="0" xfId="0" applyNumberFormat="1" applyFont="1" applyFill="1" applyBorder="1" applyAlignment="1">
      <x:alignment horizontal="center" vertical="center" wrapText="1"/>
    </x:xf>
    <x:xf numFmtId="0" fontId="4" fillId="9" borderId="16" xfId="0" applyNumberFormat="1" applyFont="1" applyFill="1" applyBorder="1" applyAlignment="1">
      <x:alignment horizontal="center" vertical="center" wrapText="1"/>
    </x:xf>
    <x:xf numFmtId="0" fontId="4" fillId="9" borderId="17" xfId="0" applyNumberFormat="1" applyFont="1" applyFill="1" applyBorder="1" applyAlignment="1">
      <x:alignment horizontal="center" vertical="center" wrapText="1"/>
    </x:xf>
    <x:xf numFmtId="0" fontId="4" fillId="9" borderId="18" xfId="0" applyNumberFormat="1" applyFont="1" applyFill="1" applyBorder="1" applyAlignment="1">
      <x:alignment horizontal="center" vertical="center" wrapText="1"/>
    </x:xf>
    <x:xf numFmtId="0" fontId="4" fillId="9" borderId="19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 applyAlignment="1">
      <x:alignment horizontal="center"/>
    </x:xf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0" fillId="10" borderId="20" xfId="0" applyNumberFormat="1" applyFont="1" applyFill="1" applyBorder="1"/>
    <x:xf numFmtId="0" fontId="0" fillId="10" borderId="3" xfId="0" applyNumberFormat="1" applyFont="1" applyFill="1" applyBorder="1"/>
    <x:xf numFmtId="0" fontId="0" fillId="10" borderId="21" xfId="0" applyNumberFormat="1" applyFont="1" applyFill="1" applyBorder="1"/>
    <x:xf numFmtId="0" fontId="0" fillId="10" borderId="22" xfId="0" applyNumberFormat="1" applyFont="1" applyFill="1" applyBorder="1"/>
    <x:xf numFmtId="0" fontId="0" fillId="10" borderId="23" xfId="0" applyNumberFormat="1" applyFont="1" applyFill="1" applyBorder="1"/>
    <x:xf numFmtId="0" fontId="0" fillId="10" borderId="24" xfId="0" applyNumberFormat="1" applyFont="1" applyFill="1" applyBorder="1"/>
    <x:xf numFmtId="0" fontId="0" fillId="10" borderId="1" xfId="0" applyNumberFormat="1" applyFont="1" applyFill="1" applyBorder="1"/>
    <x:xf numFmtId="0" fontId="0" fillId="10" borderId="25" xfId="0" applyNumberFormat="1" applyFont="1" applyFill="1" applyBorder="1"/>
    <x:xf numFmtId="0" fontId="0" fillId="10" borderId="20" xfId="0" applyNumberFormat="1" applyFont="1" applyFill="1" applyBorder="1" applyAlignment="1">
      <x:alignment wrapText="1"/>
    </x:xf>
    <x:xf numFmtId="0" fontId="0" fillId="10" borderId="3" xfId="0" applyNumberFormat="1" applyFont="1" applyFill="1" applyBorder="1" applyAlignment="1">
      <x:alignment wrapText="1"/>
    </x:xf>
    <x:xf numFmtId="0" fontId="0" fillId="10" borderId="21" xfId="0" applyNumberFormat="1" applyFont="1" applyFill="1" applyBorder="1" applyAlignment="1">
      <x:alignment wrapText="1"/>
    </x:xf>
    <x:xf numFmtId="0" fontId="0" fillId="10" borderId="22" xfId="0" applyNumberFormat="1" applyFont="1" applyFill="1" applyBorder="1" applyAlignment="1">
      <x:alignment wrapText="1"/>
    </x:xf>
    <x:xf numFmtId="0" fontId="0" fillId="10" borderId="0" xfId="0" applyNumberFormat="1" applyFont="1" applyFill="1" applyBorder="1" applyAlignment="1">
      <x:alignment wrapText="1"/>
    </x:xf>
    <x:xf numFmtId="0" fontId="0" fillId="10" borderId="23" xfId="0" applyNumberFormat="1" applyFont="1" applyFill="1" applyBorder="1" applyAlignment="1">
      <x:alignment wrapText="1"/>
    </x:xf>
    <x:xf numFmtId="0" fontId="0" fillId="10" borderId="24" xfId="0" applyNumberFormat="1" applyFont="1" applyFill="1" applyBorder="1" applyAlignment="1">
      <x:alignment wrapText="1"/>
    </x:xf>
    <x:xf numFmtId="0" fontId="0" fillId="10" borderId="1" xfId="0" applyNumberFormat="1" applyFont="1" applyFill="1" applyBorder="1" applyAlignment="1">
      <x:alignment wrapText="1"/>
    </x:xf>
    <x:xf numFmtId="0" fontId="0" fillId="10" borderId="25" xfId="0" applyNumberFormat="1" applyFont="1" applyFill="1" applyBorder="1" applyAlignment="1">
      <x:alignment wrapText="1"/>
    </x:xf>
    <x:xf numFmtId="0" fontId="0" fillId="10" borderId="20" xfId="0" applyNumberFormat="1" applyFont="1" applyFill="1" applyBorder="1" applyAlignment="1">
      <x:alignment vertical="center" wrapText="1"/>
    </x:xf>
    <x:xf numFmtId="0" fontId="0" fillId="10" borderId="3" xfId="0" applyNumberFormat="1" applyFont="1" applyFill="1" applyBorder="1" applyAlignment="1">
      <x:alignment vertical="center" wrapText="1"/>
    </x:xf>
    <x:xf numFmtId="0" fontId="0" fillId="10" borderId="21" xfId="0" applyNumberFormat="1" applyFont="1" applyFill="1" applyBorder="1" applyAlignment="1">
      <x:alignment vertical="center" wrapText="1"/>
    </x:xf>
    <x:xf numFmtId="0" fontId="0" fillId="10" borderId="22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 applyAlignment="1">
      <x:alignment vertical="center" wrapText="1"/>
    </x:xf>
    <x:xf numFmtId="0" fontId="0" fillId="10" borderId="23" xfId="0" applyNumberFormat="1" applyFont="1" applyFill="1" applyBorder="1" applyAlignment="1">
      <x:alignment vertical="center" wrapText="1"/>
    </x:xf>
    <x:xf numFmtId="0" fontId="0" fillId="10" borderId="24" xfId="0" applyNumberFormat="1" applyFont="1" applyFill="1" applyBorder="1" applyAlignment="1">
      <x:alignment vertical="center" wrapText="1"/>
    </x:xf>
    <x:xf numFmtId="0" fontId="0" fillId="10" borderId="1" xfId="0" applyNumberFormat="1" applyFont="1" applyFill="1" applyBorder="1" applyAlignment="1">
      <x:alignment vertical="center" wrapText="1"/>
    </x:xf>
    <x:xf numFmtId="0" fontId="0" fillId="10" borderId="25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horizontal="center" vertic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5" fillId="7" borderId="0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4" fillId="11" borderId="0" xfId="0" applyNumberFormat="1" applyFont="1" applyFill="1" applyBorder="1"/>
    <x:xf numFmtId="0" fontId="4" fillId="11" borderId="0" xfId="0" applyNumberFormat="1" applyFont="1" applyFill="1" applyBorder="1" applyAlignment="1">
      <x:alignment horizontal="center"/>
    </x:xf>
    <x:xf numFmtId="0" fontId="4" fillId="11" borderId="0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/>
    <x:xf numFmtId="0" fontId="9" fillId="12" borderId="0" xfId="0" applyNumberFormat="1" applyFont="1" applyFill="1" applyBorder="1"/>
    <x:xf numFmtId="0" fontId="9" fillId="12" borderId="26" xfId="0" applyNumberFormat="1" applyFont="1" applyFill="1" applyBorder="1"/>
    <x:xf numFmtId="0" fontId="9" fillId="12" borderId="27" xfId="0" applyNumberFormat="1" applyFont="1" applyFill="1" applyBorder="1"/>
    <x:xf numFmtId="0" fontId="9" fillId="12" borderId="28" xfId="0" applyNumberFormat="1" applyFont="1" applyFill="1" applyBorder="1"/>
    <x:xf numFmtId="0" fontId="9" fillId="12" borderId="29" xfId="0" applyNumberFormat="1" applyFont="1" applyFill="1" applyBorder="1"/>
    <x:xf numFmtId="0" fontId="9" fillId="12" xfId="0" applyNumberFormat="1" applyFont="1" applyFill="1" applyBorder="0"/>
    <x:xf numFmtId="0" fontId="9" fillId="12" borderId="30" xfId="0" applyNumberFormat="1" applyFont="1" applyFill="1" applyBorder="1"/>
    <x:xf numFmtId="0" fontId="9" fillId="12" borderId="31" xfId="0" applyNumberFormat="1" applyFont="1" applyFill="1" applyBorder="1"/>
    <x:xf numFmtId="0" fontId="9" fillId="12" borderId="32" xfId="0" applyNumberFormat="1" applyFont="1" applyFill="1" applyBorder="1"/>
    <x:xf numFmtId="0" fontId="9" fillId="12" borderId="33" xfId="0" applyNumberFormat="1" applyFont="1" applyFill="1" applyBorder="1"/>
    <x:xf numFmtId="0" fontId="9" fillId="12" borderId="26" xfId="0" applyNumberFormat="1" applyFont="1" applyFill="1" applyBorder="1" applyAlignment="1">
      <x:alignment wrapText="1"/>
    </x:xf>
    <x:xf numFmtId="0" fontId="9" fillId="12" borderId="27" xfId="0" applyNumberFormat="1" applyFont="1" applyFill="1" applyBorder="1" applyAlignment="1">
      <x:alignment wrapText="1"/>
    </x:xf>
    <x:xf numFmtId="0" fontId="9" fillId="12" borderId="28" xfId="0" applyNumberFormat="1" applyFont="1" applyFill="1" applyBorder="1" applyAlignment="1">
      <x:alignment wrapText="1"/>
    </x:xf>
    <x:xf numFmtId="0" fontId="9" fillId="12" borderId="29" xfId="0" applyNumberFormat="1" applyFont="1" applyFill="1" applyBorder="1" applyAlignment="1">
      <x:alignment wrapText="1"/>
    </x:xf>
    <x:xf numFmtId="0" fontId="9" fillId="12" xfId="0" applyNumberFormat="1" applyFont="1" applyFill="1" applyBorder="0" applyAlignment="1">
      <x:alignment wrapText="1"/>
    </x:xf>
    <x:xf numFmtId="0" fontId="9" fillId="12" borderId="30" xfId="0" applyNumberFormat="1" applyFont="1" applyFill="1" applyBorder="1" applyAlignment="1">
      <x:alignment wrapText="1"/>
    </x:xf>
    <x:xf numFmtId="0" fontId="9" fillId="12" borderId="31" xfId="0" applyNumberFormat="1" applyFont="1" applyFill="1" applyBorder="1" applyAlignment="1">
      <x:alignment wrapText="1"/>
    </x:xf>
    <x:xf numFmtId="0" fontId="9" fillId="12" borderId="32" xfId="0" applyNumberFormat="1" applyFont="1" applyFill="1" applyBorder="1" applyAlignment="1">
      <x:alignment wrapText="1"/>
    </x:xf>
    <x:xf numFmtId="0" fontId="9" fillId="12" borderId="33" xfId="0" applyNumberFormat="1" applyFont="1" applyFill="1" applyBorder="1" applyAlignment="1">
      <x:alignment wrapText="1"/>
    </x:xf>
    <x:xf numFmtId="0" fontId="9" fillId="12" borderId="26" xfId="0" applyNumberFormat="1" applyFont="1" applyFill="1" applyBorder="1" applyAlignment="1">
      <x:alignment vertical="center" wrapText="1"/>
    </x:xf>
    <x:xf numFmtId="0" fontId="9" fillId="12" borderId="27" xfId="0" applyNumberFormat="1" applyFont="1" applyFill="1" applyBorder="1" applyAlignment="1">
      <x:alignment vertical="center" wrapText="1"/>
    </x:xf>
    <x:xf numFmtId="0" fontId="9" fillId="12" borderId="28" xfId="0" applyNumberFormat="1" applyFont="1" applyFill="1" applyBorder="1" applyAlignment="1">
      <x:alignment vertical="center" wrapText="1"/>
    </x:xf>
    <x:xf numFmtId="0" fontId="9" fillId="12" borderId="29" xfId="0" applyNumberFormat="1" applyFont="1" applyFill="1" applyBorder="1" applyAlignment="1">
      <x:alignment vertical="center" wrapText="1"/>
    </x:xf>
    <x:xf numFmtId="0" fontId="9" fillId="12" xfId="0" applyNumberFormat="1" applyFont="1" applyFill="1" applyBorder="0" applyAlignment="1">
      <x:alignment vertical="center" wrapText="1"/>
    </x:xf>
    <x:xf numFmtId="0" fontId="9" fillId="12" borderId="30" xfId="0" applyNumberFormat="1" applyFont="1" applyFill="1" applyBorder="1" applyAlignment="1">
      <x:alignment vertical="center" wrapText="1"/>
    </x:xf>
    <x:xf numFmtId="0" fontId="9" fillId="12" borderId="31" xfId="0" applyNumberFormat="1" applyFont="1" applyFill="1" applyBorder="1" applyAlignment="1">
      <x:alignment vertical="center" wrapText="1"/>
    </x:xf>
    <x:xf numFmtId="0" fontId="9" fillId="12" borderId="32" xfId="0" applyNumberFormat="1" applyFont="1" applyFill="1" applyBorder="1" applyAlignment="1">
      <x:alignment vertical="center" wrapText="1"/>
    </x:xf>
    <x:xf numFmtId="0" fontId="9" fillId="12" borderId="33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/>
    <x:xf numFmtId="0" fontId="1" fillId="13" borderId="0" xfId="0" applyNumberFormat="1" applyFont="1" applyFill="1" applyBorder="1"/>
    <x:xf numFmtId="0" fontId="1" fillId="13" borderId="0" xfId="0" applyNumberFormat="1" applyFont="1" applyFill="1" applyBorder="1" applyAlignment="1">
      <x:alignment vertical="center"/>
    </x:xf>
    <x:xf numFmtId="0" fontId="0" fillId="14" borderId="0" xfId="0" applyNumberFormat="1" applyFont="1" applyFill="1" applyBorder="1"/>
    <x:xf numFmtId="0" fontId="10" fillId="14" borderId="0" xfId="0" applyNumberFormat="1" applyFont="1" applyFill="1" applyBorder="1"/>
    <x:xf numFmtId="0" fontId="10" fillId="14" borderId="0" xfId="0" applyNumberFormat="1" applyFont="1" applyFill="1" applyBorder="1" applyAlignment="1">
      <x:alignment wrapText="1"/>
    </x:xf>
    <x:xf numFmtId="0" fontId="10" fillId="14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vertical="center"/>
    </x:xf>
    <x:xf numFmtId="0" fontId="0" fillId="15" borderId="0" xfId="0" applyNumberFormat="1" applyFont="1" applyFill="1" applyBorder="1"/>
    <x:xf numFmtId="0" fontId="12" fillId="15" borderId="0" xfId="0" applyNumberFormat="1" applyFont="1" applyFill="1" applyBorder="1"/>
    <x:xf numFmtId="0" fontId="12" fillId="15" borderId="34" xfId="0" applyNumberFormat="1" applyFont="1" applyFill="1" applyBorder="1"/>
    <x:xf numFmtId="0" fontId="12" fillId="15" borderId="35" xfId="0" applyNumberFormat="1" applyFont="1" applyFill="1" applyBorder="1"/>
    <x:xf numFmtId="0" fontId="12" fillId="15" borderId="34" xfId="0" applyNumberFormat="1" applyFont="1" applyFill="1" applyBorder="1" applyAlignment="1">
      <x:alignment vertical="center"/>
    </x:xf>
    <x:xf numFmtId="0" fontId="12" fillId="15" borderId="35" xfId="0" applyNumberFormat="1" applyFont="1" applyFill="1" applyBorder="1" applyAlignment="1">
      <x:alignment vertical="center"/>
    </x:xf>
    <x:xf numFmtId="0" fontId="12" fillId="15" borderId="36" xfId="0" applyNumberFormat="1" applyFont="1" applyFill="1" applyBorder="1"/>
    <x:xf numFmtId="0" fontId="12" fillId="15" borderId="36" xfId="0" applyNumberFormat="1" applyFont="1" applyFill="1" applyBorder="1" applyAlignment="1">
      <x:alignment vertical="center"/>
    </x:xf>
    <x:xf numFmtId="204" fontId="12" fillId="15" borderId="35" xfId="0" applyNumberFormat="1" applyFont="1" applyFill="1" applyBorder="1" applyAlignment="1">
      <x:alignment vertical="center"/>
    </x:xf>
    <x:xf numFmtId="0" fontId="0" fillId="16" borderId="0" xfId="0" applyNumberFormat="1" applyFont="1" applyFill="1" applyBorder="1"/>
    <x:xf numFmtId="0" fontId="13" fillId="16" borderId="0" xfId="0" applyNumberFormat="1" applyFont="1" applyFill="1" applyBorder="1"/>
    <x:xf numFmtId="0" fontId="13" fillId="16" borderId="37" xfId="0" applyNumberFormat="1" applyFont="1" applyFill="1" applyBorder="1"/>
    <x:xf numFmtId="0" fontId="13" fillId="16" borderId="38" xfId="0" applyNumberFormat="1" applyFont="1" applyFill="1" applyBorder="1"/>
    <x:xf numFmtId="0" fontId="13" fillId="16" borderId="39" xfId="0" applyNumberFormat="1" applyFont="1" applyFill="1" applyBorder="1"/>
    <x:xf numFmtId="0" fontId="13" fillId="16" borderId="37" xfId="0" applyNumberFormat="1" applyFont="1" applyFill="1" applyBorder="1" applyAlignment="1">
      <x:alignment wrapText="1"/>
    </x:xf>
    <x:xf numFmtId="0" fontId="13" fillId="16" borderId="38" xfId="0" applyNumberFormat="1" applyFont="1" applyFill="1" applyBorder="1" applyAlignment="1">
      <x:alignment wrapText="1"/>
    </x:xf>
    <x:xf numFmtId="0" fontId="13" fillId="16" borderId="39" xfId="0" applyNumberFormat="1" applyFont="1" applyFill="1" applyBorder="1" applyAlignment="1">
      <x:alignment wrapText="1"/>
    </x:xf>
    <x:xf numFmtId="0" fontId="13" fillId="16" borderId="37" xfId="0" applyNumberFormat="1" applyFont="1" applyFill="1" applyBorder="1" applyAlignment="1">
      <x:alignment vertical="center" wrapText="1"/>
    </x:xf>
    <x:xf numFmtId="0" fontId="13" fillId="16" borderId="38" xfId="0" applyNumberFormat="1" applyFont="1" applyFill="1" applyBorder="1" applyAlignment="1">
      <x:alignment vertical="center" wrapText="1"/>
    </x:xf>
    <x:xf numFmtId="0" fontId="13" fillId="16" borderId="39" xfId="0" applyNumberFormat="1" applyFont="1" applyFill="1" applyBorder="1" applyAlignment="1">
      <x:alignment vertical="center" wrapText="1"/>
    </x:xf>
    <x:xf numFmtId="0" fontId="3" fillId="13" borderId="0" xfId="0" applyNumberFormat="1" applyFont="1" applyFill="1" applyBorder="1"/>
    <x:xf numFmtId="0" fontId="3" fillId="13" borderId="0" xfId="0" applyNumberFormat="1" applyFont="1" applyFill="1" applyBorder="1" applyAlignment="1">
      <x:alignment wrapText="1"/>
    </x:xf>
    <x:xf numFmtId="0" fontId="3" fillId="13" borderId="0" xfId="0" applyNumberFormat="1" applyFont="1" applyFill="1" applyBorder="1" applyAlignment="1">
      <x:alignment horizontal="center" wrapText="1"/>
    </x:xf>
    <x:xf numFmtId="0" fontId="3" fillId="13" borderId="0" xfId="0" applyNumberFormat="1" applyFont="1" applyFill="1" applyBorder="1" applyAlignment="1">
      <x:alignment horizontal="center" vertical="center" wrapText="1"/>
    </x:xf>
    <x:xf numFmtId="0" fontId="0" fillId="17" borderId="0" xfId="0" applyNumberFormat="1" applyFont="1" applyFill="1" applyBorder="1"/>
    <x:xf numFmtId="0" fontId="3" fillId="17" borderId="0" xfId="0" applyNumberFormat="1" applyFont="1" applyFill="1" applyBorder="1"/>
    <x:xf numFmtId="0" fontId="3" fillId="17" borderId="0" xfId="0" applyNumberFormat="1" applyFont="1" applyFill="1" applyBorder="1" applyAlignment="1">
      <x:alignment wrapText="1"/>
    </x:xf>
    <x:xf numFmtId="0" fontId="3" fillId="17" borderId="0" xfId="0" applyNumberFormat="1" applyFont="1" applyFill="1" applyBorder="1" applyAlignment="1">
      <x:alignment horizontal="center" wrapText="1"/>
    </x:xf>
    <x:xf numFmtId="0" fontId="3" fillId="17" borderId="0" xfId="0" applyNumberFormat="1" applyFont="1" applyFill="1" applyBorder="1" applyAlignment="1">
      <x:alignment horizontal="center" vertical="center" wrapText="1"/>
    </x:xf>
    <x:xf numFmtId="0" fontId="14" fillId="0" borderId="0" xfId="0" applyNumberFormat="1" applyFont="1" applyFill="1" applyBorder="1"/>
    <x:xf numFmtId="0" fontId="14" fillId="0" borderId="40" xfId="0" applyNumberFormat="1" applyFont="1" applyFill="1" applyBorder="1"/>
    <x:xf numFmtId="0" fontId="14" fillId="0" borderId="41" xfId="0" applyNumberFormat="1" applyFont="1" applyFill="1" applyBorder="1"/>
    <x:xf numFmtId="0" fontId="14" fillId="0" borderId="42" xfId="0" applyNumberFormat="1" applyFont="1" applyFill="1" applyBorder="1"/>
    <x:xf numFmtId="0" fontId="14" fillId="0" borderId="40" xfId="0" applyNumberFormat="1" applyFont="1" applyFill="1" applyBorder="1" applyAlignment="1">
      <x:alignment wrapText="1"/>
    </x:xf>
    <x:xf numFmtId="0" fontId="14" fillId="0" borderId="41" xfId="0" applyNumberFormat="1" applyFont="1" applyFill="1" applyBorder="1" applyAlignment="1">
      <x:alignment wrapText="1"/>
    </x:xf>
    <x:xf numFmtId="0" fontId="14" fillId="0" borderId="42" xfId="0" applyNumberFormat="1" applyFont="1" applyFill="1" applyBorder="1" applyAlignment="1">
      <x:alignment wrapText="1"/>
    </x:xf>
    <x:xf numFmtId="0" fontId="14" fillId="0" borderId="40" xfId="0" applyNumberFormat="1" applyFont="1" applyFill="1" applyBorder="1" applyAlignment="1">
      <x:alignment vertical="top" wrapText="1"/>
    </x:xf>
    <x:xf numFmtId="0" fontId="14" fillId="0" borderId="41" xfId="0" applyNumberFormat="1" applyFont="1" applyFill="1" applyBorder="1" applyAlignment="1">
      <x:alignment vertical="top" wrapText="1"/>
    </x:xf>
    <x:xf numFmtId="0" fontId="14" fillId="0" borderId="42" xfId="0" applyNumberFormat="1" applyFont="1" applyFill="1" applyBorder="1" applyAlignment="1">
      <x:alignment vertical="top" wrapText="1"/>
    </x:xf>
    <x:xf numFmtId="0" fontId="14" fillId="18" borderId="40" xfId="0" applyNumberFormat="1" applyFont="1" applyFill="1" applyBorder="1" applyAlignment="1">
      <x:alignment vertical="top" wrapText="1"/>
    </x:xf>
    <x:xf numFmtId="0" fontId="14" fillId="18" borderId="40" xfId="0" applyNumberFormat="1" applyFont="1" applyFill="1" applyBorder="1" applyAlignment="1">
      <x:alignment horizontal="center" vertical="top" wrapText="1"/>
    </x:xf>
    <x:xf numFmtId="0" fontId="14" fillId="19" borderId="41" xfId="0" applyNumberFormat="1" applyFont="1" applyFill="1" applyBorder="1" applyAlignment="1">
      <x:alignment vertical="top" wrapText="1"/>
    </x:xf>
    <x:xf numFmtId="0" fontId="14" fillId="19" borderId="41" xfId="0" applyNumberFormat="1" applyFont="1" applyFill="1" applyBorder="1" applyAlignment="1">
      <x:alignment horizontal="center" vertical="top" wrapText="1"/>
    </x:xf>
    <x:xf numFmtId="0" fontId="14" fillId="18" borderId="41" xfId="0" applyNumberFormat="1" applyFont="1" applyFill="1" applyBorder="1" applyAlignment="1">
      <x:alignment vertical="top" wrapText="1"/>
    </x:xf>
    <x:xf numFmtId="0" fontId="14" fillId="18" borderId="41" xfId="0" applyNumberFormat="1" applyFont="1" applyFill="1" applyBorder="1" applyAlignment="1">
      <x:alignment horizontal="center" vertical="top" wrapText="1"/>
    </x:xf>
    <x:xf numFmtId="0" fontId="14" fillId="19" borderId="42" xfId="0" applyNumberFormat="1" applyFont="1" applyFill="1" applyBorder="1" applyAlignment="1">
      <x:alignment vertical="top" wrapText="1"/>
    </x:xf>
    <x:xf numFmtId="0" fontId="14" fillId="19" borderId="42" xfId="0" applyNumberFormat="1" applyFont="1" applyFill="1" applyBorder="1" applyAlignment="1">
      <x:alignment horizontal="center" vertical="top" wrapText="1"/>
    </x:xf>
    <x:xf numFmtId="0" fontId="14" fillId="16" borderId="40" xfId="0" applyNumberFormat="1" applyFont="1" applyFill="1" applyBorder="1" applyAlignment="1">
      <x:alignment vertical="top" wrapText="1"/>
    </x:xf>
    <x:xf numFmtId="0" fontId="14" fillId="16" borderId="41" xfId="0" applyNumberFormat="1" applyFont="1" applyFill="1" applyBorder="1" applyAlignment="1">
      <x:alignment vertical="top" wrapText="1"/>
    </x:xf>
    <x:xf numFmtId="0" fontId="15" fillId="13" borderId="0" xfId="0" applyNumberFormat="1" applyFont="1" applyFill="1" applyBorder="1" applyAlignment="1">
      <x:alignment horizontal="center" vertical="center" wrapText="1"/>
    </x:xf>
    <x:xf numFmtId="0" fontId="16" fillId="0" borderId="0" xfId="0" applyNumberFormat="1" applyFont="1" applyFill="1" applyBorder="1"/>
    <x:xf numFmtId="0" fontId="15" fillId="17" borderId="0" xfId="0" applyNumberFormat="1" applyFont="1" applyFill="1" applyBorder="1" applyAlignment="1">
      <x:alignment horizontal="center" vertical="center" wrapText="1"/>
    </x:xf>
    <x:xf numFmtId="0" fontId="17" fillId="18" borderId="40" xfId="0" applyNumberFormat="1" applyFont="1" applyFill="1" applyBorder="1" applyAlignment="1">
      <x:alignment horizontal="center" vertical="top" wrapText="1"/>
    </x:xf>
    <x:xf numFmtId="0" fontId="17" fillId="18" borderId="40" xfId="0" applyNumberFormat="1" applyFont="1" applyFill="1" applyBorder="1" applyAlignment="1">
      <x:alignment vertical="top" wrapText="1"/>
    </x:xf>
    <x:xf numFmtId="0" fontId="17" fillId="16" borderId="40" xfId="0" applyNumberFormat="1" applyFont="1" applyFill="1" applyBorder="1" applyAlignment="1">
      <x:alignment vertical="top" wrapText="1"/>
    </x:xf>
    <x:xf numFmtId="0" fontId="17" fillId="19" borderId="41" xfId="0" applyNumberFormat="1" applyFont="1" applyFill="1" applyBorder="1" applyAlignment="1">
      <x:alignment horizontal="center" vertical="top" wrapText="1"/>
    </x:xf>
    <x:xf numFmtId="0" fontId="17" fillId="19" borderId="41" xfId="0" applyNumberFormat="1" applyFont="1" applyFill="1" applyBorder="1" applyAlignment="1">
      <x:alignment vertical="top" wrapText="1"/>
    </x:xf>
    <x:xf numFmtId="0" fontId="17" fillId="18" borderId="41" xfId="0" applyNumberFormat="1" applyFont="1" applyFill="1" applyBorder="1" applyAlignment="1">
      <x:alignment horizontal="center" vertical="top" wrapText="1"/>
    </x:xf>
    <x:xf numFmtId="0" fontId="17" fillId="18" borderId="41" xfId="0" applyNumberFormat="1" applyFont="1" applyFill="1" applyBorder="1" applyAlignment="1">
      <x:alignment vertical="top" wrapText="1"/>
    </x:xf>
    <x:xf numFmtId="0" fontId="17" fillId="16" borderId="41" xfId="0" applyNumberFormat="1" applyFont="1" applyFill="1" applyBorder="1" applyAlignment="1">
      <x:alignment vertical="top" wrapText="1"/>
    </x:xf>
    <x:xf numFmtId="0" fontId="17" fillId="19" borderId="42" xfId="0" applyNumberFormat="1" applyFont="1" applyFill="1" applyBorder="1" applyAlignment="1">
      <x:alignment vertical="top" wrapText="1"/>
    </x:xf>
    <x:xf numFmtId="0" fontId="17" fillId="19" borderId="42" xfId="0" applyNumberFormat="1" applyFont="1" applyFill="1" applyBorder="1" applyAlignment="1">
      <x:alignment horizontal="center" vertical="top" wrapText="1"/>
    </x:xf>
    <x:xf numFmtId="0" fontId="5" fillId="17" borderId="0" xfId="0" applyNumberFormat="1" applyFont="1" applyFill="1" applyBorder="1" applyAlignment="1">
      <x:alignment horizontal="center" vertical="center"/>
    </x:xf>
    <x:xf numFmtId="0" fontId="3" fillId="17" borderId="0" xfId="0" applyNumberFormat="1" applyFont="1" applyFill="1" applyBorder="1" applyAlignment="1">
      <x:alignment horizontal="center" vertical="center"/>
    </x:xf>
    <x:xf numFmtId="0" fontId="3" fillId="17" borderId="43" xfId="0" applyNumberFormat="1" applyFont="1" applyFill="1" applyBorder="1" applyAlignment="1">
      <x:alignment horizontal="center" vertical="center"/>
    </x:xf>
    <x:xf numFmtId="0" fontId="3" fillId="17" borderId="44" xfId="0" applyNumberFormat="1" applyFont="1" applyFill="1" applyBorder="1"/>
    <x:xf numFmtId="0" fontId="3" fillId="17" borderId="44" xfId="0" applyNumberFormat="1" applyFont="1" applyFill="1" applyBorder="1" applyAlignment="1">
      <x:alignment horizontal="center" vertical="center"/>
    </x:xf>
    <x:xf numFmtId="0" fontId="3" fillId="17" borderId="45" xfId="0" applyNumberFormat="1" applyFont="1" applyFill="1" applyBorder="1" applyAlignment="1">
      <x:alignment horizontal="center" vertical="center"/>
    </x:xf>
    <x:xf numFmtId="0" fontId="3" fillId="17" borderId="46" xfId="0" applyNumberFormat="1" applyFont="1" applyFill="1" applyBorder="1" applyAlignment="1">
      <x:alignment horizontal="center" vertical="center"/>
    </x:xf>
    <x:xf numFmtId="0" fontId="3" fillId="17" xfId="0" applyNumberFormat="1" applyFont="1" applyFill="1" applyBorder="0"/>
    <x:xf numFmtId="0" fontId="3" fillId="17" xfId="0" applyNumberFormat="1" applyFont="1" applyFill="1" applyBorder="0" applyAlignment="1">
      <x:alignment horizontal="center" vertical="center"/>
    </x:xf>
    <x:xf numFmtId="0" fontId="3" fillId="17" borderId="47" xfId="0" applyNumberFormat="1" applyFont="1" applyFill="1" applyBorder="1" applyAlignment="1">
      <x:alignment horizontal="center" vertical="center"/>
    </x:xf>
    <x:xf numFmtId="0" fontId="3" fillId="17" borderId="48" xfId="0" applyNumberFormat="1" applyFont="1" applyFill="1" applyBorder="1" applyAlignment="1">
      <x:alignment horizontal="center" vertical="center"/>
    </x:xf>
    <x:xf numFmtId="0" fontId="3" fillId="17" borderId="49" xfId="0" applyNumberFormat="1" applyFont="1" applyFill="1" applyBorder="1"/>
    <x:xf numFmtId="0" fontId="3" fillId="17" borderId="49" xfId="0" applyNumberFormat="1" applyFont="1" applyFill="1" applyBorder="1" applyAlignment="1">
      <x:alignment horizontal="center" vertical="center"/>
    </x:xf>
    <x:xf numFmtId="0" fontId="3" fillId="17" borderId="50" xfId="0" applyNumberFormat="1" applyFont="1" applyFill="1" applyBorder="1" applyAlignment="1">
      <x:alignment horizontal="center" vertical="center"/>
    </x:xf>
    <x:xf numFmtId="0" fontId="3" fillId="17" borderId="44" xfId="0" applyNumberFormat="1" applyFont="1" applyFill="1" applyBorder="1" applyAlignment="1">
      <x:alignment horizontal="center"/>
    </x:xf>
    <x:xf numFmtId="0" fontId="3" fillId="17" xfId="0" applyNumberFormat="1" applyFont="1" applyFill="1" applyBorder="0" applyAlignment="1">
      <x:alignment horizontal="center"/>
    </x:xf>
    <x:xf numFmtId="0" fontId="3" fillId="17" borderId="49" xfId="0" applyNumberFormat="1" applyFont="1" applyFill="1" applyBorder="1" applyAlignment="1">
      <x:alignment horizontal="center"/>
    </x:xf>
  </x:cellXfs>
  <x:cellStyles count="1">
    <x:cellStyle name="Normal" xfId="0"/>
  </x:cellStyles>
  <x:dxfs count="321">
    <x:dxf>
      <x:font>
        <x:b/>
      </x:font>
      <x:fill>
        <x:patternFill>
          <x:bgColor rgb="FFDDEBE6"/>
        </x:patternFill>
      </x:fill>
    </x:dxf>
    <x:dxf>
      <x:font>
        <x:b/>
        <x:color rgb="FFFFFFFF"/>
      </x:font>
      <x:fill>
        <x:patternFill>
          <x:bgColor rgb="FF0B3028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D9EAF7"/>
        </x:patternFill>
      </x:fill>
    </x:dxf>
    <x:dxf>
      <x:font>
        <x:b/>
        <x:color rgb="FFFFFFFF"/>
      </x:font>
      <x:fill>
        <x:patternFill>
          <x:bgColor rgb="FF0B3028"/>
        </x:patternFill>
      </x:fill>
    </x:dxf>
    <x:dxf>
      <x:font>
        <x:b/>
        <x:color rgb="FFFFFFFF"/>
      </x:font>
      <x:fill>
        <x:patternFill>
          <x:bgColor rgb="FF0B3028"/>
        </x:patternFill>
      </x:fill>
    </x:dxf>
    <x:dxf>
      <x:font>
        <x:b/>
      </x:font>
      <x:fill>
        <x:patternFill>
          <x:bgColor rgb="FFDDEBE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  <x:color rgb="FFFFFFFF"/>
      </x:font>
      <x:fill>
        <x:patternFill>
          <x:bgColor rgb="FF0B3028"/>
        </x:patternFill>
      </x:fill>
    </x:dxf>
    <x:dxf>
      <x:fill>
        <x:patternFill>
          <x:bgColor rgb="FFDDEBE6"/>
        </x:patternFill>
      </x:fill>
    </x:dxf>
    <x:dxf>
      <x:fill>
        <x:patternFill>
          <x:bgColor rgb="FFD9EAF7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CE4D6"/>
        </x:patternFill>
      </x:fill>
    </x:dxf>
    <x:dxf>
      <x:font>
        <x:b/>
        <x:color rgb="FFFFFFFF"/>
      </x:font>
      <x:fill>
        <x:patternFill>
          <x:bgColor rgb="FF0B3028"/>
        </x:patternFill>
      </x:fill>
    </x:dxf>
    <x:dxf>
      <x:fill>
        <x:patternFill>
          <x:bgColor rgb="FFDDEBE6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7ECEA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F7"/>
        </x:patternFill>
      </x:fill>
    </x:dxf>
    <x:dxf>
      <x:font>
        <x:b/>
      </x:font>
      <x:fill>
        <x:patternFill>
          <x:bgColor rgb="FFDDEBE6"/>
        </x:patternFill>
      </x:fill>
    </x:dxf>
    <x:dxf>
      <x:font>
        <x:b/>
        <x:color rgb="FFFFFFFF"/>
      </x:font>
      <x:fill>
        <x:patternFill>
          <x:bgColor rgb="FF0B3028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D9EAF7"/>
        </x:patternFill>
      </x:fill>
    </x:dxf>
    <x:dxf>
      <x:font>
        <x:b/>
        <x:color rgb="FFFFFFFF"/>
      </x:font>
      <x:fill>
        <x:patternFill>
          <x:bgColor rgb="FF0B3028"/>
        </x:patternFill>
      </x:fill>
    </x:dxf>
    <x:dxf>
      <x:font>
        <x:b/>
        <x:color rgb="FFFFFFFF"/>
      </x:font>
      <x:fill>
        <x:patternFill>
          <x:bgColor rgb="FF0B3028"/>
        </x:patternFill>
      </x:fill>
    </x:dxf>
    <x:dxf>
      <x:font>
        <x:b/>
      </x:font>
      <x:fill>
        <x:patternFill>
          <x:bgColor rgb="FFDDEBE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  <x:color rgb="FFFFFFFF"/>
      </x:font>
      <x:fill>
        <x:patternFill>
          <x:bgColor rgb="FF0B3028"/>
        </x:patternFill>
      </x:fill>
    </x:dxf>
    <x:dxf>
      <x:fill>
        <x:patternFill>
          <x:bgColor rgb="FFDDEBE6"/>
        </x:patternFill>
      </x:fill>
    </x:dxf>
    <x:dxf>
      <x:fill>
        <x:patternFill>
          <x:bgColor rgb="FFD9EAF7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CE4D6"/>
        </x:patternFill>
      </x:fill>
    </x:dxf>
    <x:dxf>
      <x:font>
        <x:b/>
        <x:color rgb="FFFFFFFF"/>
      </x:font>
      <x:fill>
        <x:patternFill>
          <x:bgColor rgb="FF0B3028"/>
        </x:patternFill>
      </x:fill>
    </x:dxf>
    <x:dxf>
      <x:fill>
        <x:patternFill>
          <x:bgColor rgb="FFDDEBE6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7ECEA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F7"/>
        </x:patternFill>
      </x:fill>
    </x:dxf>
    <x:dxf>
      <x:font>
        <x:b/>
      </x:font>
      <x:fill>
        <x:patternFill>
          <x:bgColor rgb="FFDDEBE6"/>
        </x:patternFill>
      </x:fill>
    </x:dxf>
    <x:dxf>
      <x:font>
        <x:b/>
        <x:color rgb="FFFFFFFF"/>
      </x:font>
      <x:fill>
        <x:patternFill>
          <x:bgColor rgb="FF0B3028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D9EAF7"/>
        </x:patternFill>
      </x:fill>
    </x:dxf>
    <x:dxf>
      <x:font>
        <x:b/>
        <x:color rgb="FFFFFFFF"/>
      </x:font>
      <x:fill>
        <x:patternFill>
          <x:bgColor rgb="FF0B3028"/>
        </x:patternFill>
      </x:fill>
    </x:dxf>
    <x:dxf>
      <x:font>
        <x:b/>
        <x:color rgb="FFFFFFFF"/>
      </x:font>
      <x:fill>
        <x:patternFill>
          <x:bgColor rgb="FF0B3028"/>
        </x:patternFill>
      </x:fill>
    </x:dxf>
    <x:dxf>
      <x:font>
        <x:b/>
      </x:font>
      <x:fill>
        <x:patternFill>
          <x:bgColor rgb="FFDDEBE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  <x:color rgb="FFFFFFFF"/>
      </x:font>
      <x:fill>
        <x:patternFill>
          <x:bgColor rgb="FF0B3028"/>
        </x:patternFill>
      </x:fill>
    </x:dxf>
    <x:dxf>
      <x:fill>
        <x:patternFill>
          <x:bgColor rgb="FFDDEBE6"/>
        </x:patternFill>
      </x:fill>
    </x:dxf>
    <x:dxf>
      <x:fill>
        <x:patternFill>
          <x:bgColor rgb="FFD9EAF7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CE4D6"/>
        </x:patternFill>
      </x:fill>
    </x:dxf>
    <x:dxf>
      <x:font>
        <x:b/>
        <x:color rgb="FFFFFFFF"/>
      </x:font>
      <x:fill>
        <x:patternFill>
          <x:bgColor rgb="FF0B3028"/>
        </x:patternFill>
      </x:fill>
    </x:dxf>
    <x:dxf>
      <x:fill>
        <x:patternFill>
          <x:bgColor rgb="FFDDEBE6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7ECEA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F7"/>
        </x:patternFill>
      </x:fill>
    </x:dxf>
    <x:dxf>
      <x:font>
        <x:b/>
      </x:font>
      <x:fill>
        <x:patternFill>
          <x:bgColor rgb="FFDDEBE6"/>
        </x:patternFill>
      </x:fill>
    </x:dxf>
    <x:dxf>
      <x:font>
        <x:b/>
        <x:color rgb="FFFFFFFF"/>
      </x:font>
      <x:fill>
        <x:patternFill>
          <x:bgColor rgb="FF0B3028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D9EAF7"/>
        </x:patternFill>
      </x:fill>
    </x:dxf>
    <x:dxf>
      <x:font>
        <x:b/>
        <x:color rgb="FFFFFFFF"/>
      </x:font>
      <x:fill>
        <x:patternFill>
          <x:bgColor rgb="FF0B3028"/>
        </x:patternFill>
      </x:fill>
    </x:dxf>
    <x:dxf>
      <x:font>
        <x:b/>
        <x:color rgb="FFFFFFFF"/>
      </x:font>
      <x:fill>
        <x:patternFill>
          <x:bgColor rgb="FF0B3028"/>
        </x:patternFill>
      </x:fill>
    </x:dxf>
    <x:dxf>
      <x:font>
        <x:b/>
      </x:font>
      <x:fill>
        <x:patternFill>
          <x:bgColor rgb="FFDDEBE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  <x:color rgb="FFFFFFFF"/>
      </x:font>
      <x:fill>
        <x:patternFill>
          <x:bgColor rgb="FF0B3028"/>
        </x:patternFill>
      </x:fill>
    </x:dxf>
    <x:dxf>
      <x:fill>
        <x:patternFill>
          <x:bgColor rgb="FFDDEBE6"/>
        </x:patternFill>
      </x:fill>
    </x:dxf>
    <x:dxf>
      <x:fill>
        <x:patternFill>
          <x:bgColor rgb="FFD9EAF7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CE4D6"/>
        </x:patternFill>
      </x:fill>
    </x:dxf>
    <x:dxf>
      <x:font>
        <x:b/>
        <x:color rgb="FFFFFFFF"/>
      </x:font>
      <x:fill>
        <x:patternFill>
          <x:bgColor rgb="FF0B3028"/>
        </x:patternFill>
      </x:fill>
    </x:dxf>
    <x:dxf>
      <x:fill>
        <x:patternFill>
          <x:bgColor rgb="FFDDEBE6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7ECEA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F7"/>
        </x:patternFill>
      </x:fill>
    </x:dxf>
    <x:dxf>
      <x:font>
        <x:b/>
      </x:font>
      <x:fill>
        <x:patternFill>
          <x:bgColor rgb="FFDDEBE6"/>
        </x:patternFill>
      </x:fill>
    </x:dxf>
    <x:dxf>
      <x:font>
        <x:b/>
        <x:color rgb="FFFFFFFF"/>
      </x:font>
      <x:fill>
        <x:patternFill>
          <x:bgColor rgb="FF0B3028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D9EAF7"/>
        </x:patternFill>
      </x:fill>
    </x:dxf>
    <x:dxf>
      <x:font>
        <x:b/>
        <x:color rgb="FFFFFFFF"/>
      </x:font>
      <x:fill>
        <x:patternFill>
          <x:bgColor rgb="FF0B3028"/>
        </x:patternFill>
      </x:fill>
    </x:dxf>
    <x:dxf>
      <x:font>
        <x:b/>
        <x:color rgb="FFFFFFFF"/>
      </x:font>
      <x:fill>
        <x:patternFill>
          <x:bgColor rgb="FF0B3028"/>
        </x:patternFill>
      </x:fill>
    </x:dxf>
    <x:dxf>
      <x:font>
        <x:b/>
      </x:font>
      <x:fill>
        <x:patternFill>
          <x:bgColor rgb="FFDDEBE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  <x:color rgb="FFFFFFFF"/>
      </x:font>
      <x:fill>
        <x:patternFill>
          <x:bgColor rgb="FF0B3028"/>
        </x:patternFill>
      </x:fill>
    </x:dxf>
    <x:dxf>
      <x:fill>
        <x:patternFill>
          <x:bgColor rgb="FFDDEBE6"/>
        </x:patternFill>
      </x:fill>
    </x:dxf>
    <x:dxf>
      <x:fill>
        <x:patternFill>
          <x:bgColor rgb="FFD9EAF7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CE4D6"/>
        </x:patternFill>
      </x:fill>
    </x:dxf>
    <x:dxf>
      <x:font>
        <x:b/>
        <x:color rgb="FFFFFFFF"/>
      </x:font>
      <x:fill>
        <x:patternFill>
          <x:bgColor rgb="FF0B3028"/>
        </x:patternFill>
      </x:fill>
    </x:dxf>
    <x:dxf>
      <x:fill>
        <x:patternFill>
          <x:bgColor rgb="FFDDEBE6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7ECEA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F7"/>
        </x:patternFill>
      </x:fill>
    </x:dxf>
    <x:dxf>
      <x:font>
        <x:b/>
      </x:font>
      <x:fill>
        <x:patternFill>
          <x:bgColor rgb="FFDDEBE6"/>
        </x:patternFill>
      </x:fill>
    </x:dxf>
    <x:dxf>
      <x:font>
        <x:b/>
        <x:color rgb="FFFFFFFF"/>
      </x:font>
      <x:fill>
        <x:patternFill>
          <x:bgColor rgb="FF0B3028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D9EAF7"/>
        </x:patternFill>
      </x:fill>
    </x:dxf>
    <x:dxf>
      <x:font>
        <x:b/>
        <x:color rgb="FFFFFFFF"/>
      </x:font>
      <x:fill>
        <x:patternFill>
          <x:bgColor rgb="FF0B3028"/>
        </x:patternFill>
      </x:fill>
    </x:dxf>
    <x:dxf>
      <x:font>
        <x:b/>
        <x:color rgb="FFFFFFFF"/>
      </x:font>
      <x:fill>
        <x:patternFill>
          <x:bgColor rgb="FF0B3028"/>
        </x:patternFill>
      </x:fill>
    </x:dxf>
    <x:dxf>
      <x:font>
        <x:b/>
      </x:font>
      <x:fill>
        <x:patternFill>
          <x:bgColor rgb="FFDDEBE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  <x:color rgb="FFFFFFFF"/>
      </x:font>
      <x:fill>
        <x:patternFill>
          <x:bgColor rgb="FF0B3028"/>
        </x:patternFill>
      </x:fill>
    </x:dxf>
    <x:dxf>
      <x:fill>
        <x:patternFill>
          <x:bgColor rgb="FFDDEBE6"/>
        </x:patternFill>
      </x:fill>
    </x:dxf>
    <x:dxf>
      <x:fill>
        <x:patternFill>
          <x:bgColor rgb="FFD9EAF7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CE4D6"/>
        </x:patternFill>
      </x:fill>
    </x:dxf>
    <x:dxf>
      <x:font>
        <x:b/>
        <x:color rgb="FFFFFFFF"/>
      </x:font>
      <x:fill>
        <x:patternFill>
          <x:bgColor rgb="FF0B3028"/>
        </x:patternFill>
      </x:fill>
    </x:dxf>
    <x:dxf>
      <x:fill>
        <x:patternFill>
          <x:bgColor rgb="FFDDEBE6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7ECEA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F7"/>
        </x:patternFill>
      </x:fill>
    </x:dxf>
    <x:dxf>
      <x:font>
        <x:b/>
      </x:font>
      <x:fill>
        <x:patternFill>
          <x:bgColor rgb="FFDDEBE6"/>
        </x:patternFill>
      </x:fill>
    </x:dxf>
    <x:dxf>
      <x:font>
        <x:b/>
        <x:color rgb="FFFFFFFF"/>
      </x:font>
      <x:fill>
        <x:patternFill>
          <x:bgColor rgb="FF0B3028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D9EAF7"/>
        </x:patternFill>
      </x:fill>
    </x:dxf>
    <x:dxf>
      <x:font>
        <x:b/>
        <x:color rgb="FFFFFFFF"/>
      </x:font>
      <x:fill>
        <x:patternFill>
          <x:bgColor rgb="FF0B3028"/>
        </x:patternFill>
      </x:fill>
    </x:dxf>
    <x:dxf>
      <x:font>
        <x:b/>
        <x:color rgb="FFFFFFFF"/>
      </x:font>
      <x:fill>
        <x:patternFill>
          <x:bgColor rgb="FF0B3028"/>
        </x:patternFill>
      </x:fill>
    </x:dxf>
    <x:dxf>
      <x:font>
        <x:b/>
      </x:font>
      <x:fill>
        <x:patternFill>
          <x:bgColor rgb="FFDDEBE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  <x:color rgb="FFFFFFFF"/>
      </x:font>
      <x:fill>
        <x:patternFill>
          <x:bgColor rgb="FF0B3028"/>
        </x:patternFill>
      </x:fill>
    </x:dxf>
    <x:dxf>
      <x:fill>
        <x:patternFill>
          <x:bgColor rgb="FFDDEBE6"/>
        </x:patternFill>
      </x:fill>
    </x:dxf>
    <x:dxf>
      <x:fill>
        <x:patternFill>
          <x:bgColor rgb="FFD9EAF7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CE4D6"/>
        </x:patternFill>
      </x:fill>
    </x:dxf>
    <x:dxf>
      <x:font>
        <x:b/>
        <x:color rgb="FFFFFFFF"/>
      </x:font>
      <x:fill>
        <x:patternFill>
          <x:bgColor rgb="FF0B3028"/>
        </x:patternFill>
      </x:fill>
    </x:dxf>
    <x:dxf>
      <x:fill>
        <x:patternFill>
          <x:bgColor rgb="FFDDEBE6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7ECEA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F7"/>
        </x:patternFill>
      </x:fill>
    </x:dxf>
    <x:dxf>
      <x:font>
        <x:b/>
      </x:font>
      <x:fill>
        <x:patternFill>
          <x:bgColor rgb="FFDDEBE6"/>
        </x:patternFill>
      </x:fill>
    </x:dxf>
    <x:dxf>
      <x:font>
        <x:b/>
        <x:color rgb="FFFFFFFF"/>
      </x:font>
      <x:fill>
        <x:patternFill>
          <x:bgColor rgb="FF0B3028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D9EAF7"/>
        </x:patternFill>
      </x:fill>
    </x:dxf>
    <x:dxf>
      <x:font>
        <x:b/>
        <x:color rgb="FFFFFFFF"/>
      </x:font>
      <x:fill>
        <x:patternFill>
          <x:bgColor rgb="FF0B3028"/>
        </x:patternFill>
      </x:fill>
    </x:dxf>
    <x:dxf>
      <x:font>
        <x:b/>
        <x:color rgb="FFFFFFFF"/>
      </x:font>
      <x:fill>
        <x:patternFill>
          <x:bgColor rgb="FF0B3028"/>
        </x:patternFill>
      </x:fill>
    </x:dxf>
    <x:dxf>
      <x:font>
        <x:b/>
      </x:font>
      <x:fill>
        <x:patternFill>
          <x:bgColor rgb="FFDDEBE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  <x:color rgb="FFFFFFFF"/>
      </x:font>
      <x:fill>
        <x:patternFill>
          <x:bgColor rgb="FF0B3028"/>
        </x:patternFill>
      </x:fill>
    </x:dxf>
    <x:dxf>
      <x:fill>
        <x:patternFill>
          <x:bgColor rgb="FFDDEBE6"/>
        </x:patternFill>
      </x:fill>
    </x:dxf>
    <x:dxf>
      <x:fill>
        <x:patternFill>
          <x:bgColor rgb="FFD9EAF7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CE4D6"/>
        </x:patternFill>
      </x:fill>
    </x:dxf>
    <x:dxf>
      <x:font>
        <x:b/>
        <x:color rgb="FFFFFFFF"/>
      </x:font>
      <x:fill>
        <x:patternFill>
          <x:bgColor rgb="FF0B3028"/>
        </x:patternFill>
      </x:fill>
    </x:dxf>
    <x:dxf>
      <x:fill>
        <x:patternFill>
          <x:bgColor rgb="FFDDEBE6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7ECEA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F7"/>
        </x:patternFill>
      </x:fill>
    </x:dxf>
    <x:dxf>
      <x:font>
        <x:b/>
      </x:font>
      <x:fill>
        <x:patternFill>
          <x:bgColor rgb="FFDDEBE6"/>
        </x:patternFill>
      </x:fill>
    </x:dxf>
    <x:dxf>
      <x:font>
        <x:b/>
        <x:color rgb="FFFFFFFF"/>
      </x:font>
      <x:fill>
        <x:patternFill>
          <x:bgColor rgb="FF0B3028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D9EAF7"/>
        </x:patternFill>
      </x:fill>
    </x:dxf>
    <x:dxf>
      <x:font>
        <x:b/>
        <x:color rgb="FFFFFFFF"/>
      </x:font>
      <x:fill>
        <x:patternFill>
          <x:bgColor rgb="FF0B3028"/>
        </x:patternFill>
      </x:fill>
    </x:dxf>
    <x:dxf>
      <x:font>
        <x:b/>
        <x:color rgb="FFFFFFFF"/>
      </x:font>
      <x:fill>
        <x:patternFill>
          <x:bgColor rgb="FF0B3028"/>
        </x:patternFill>
      </x:fill>
    </x:dxf>
    <x:dxf>
      <x:font>
        <x:b/>
      </x:font>
      <x:fill>
        <x:patternFill>
          <x:bgColor rgb="FFDDEBE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  <x:color rgb="FFFFFFFF"/>
      </x:font>
      <x:fill>
        <x:patternFill>
          <x:bgColor rgb="FF0B3028"/>
        </x:patternFill>
      </x:fill>
    </x:dxf>
    <x:dxf>
      <x:fill>
        <x:patternFill>
          <x:bgColor rgb="FFDDEBE6"/>
        </x:patternFill>
      </x:fill>
    </x:dxf>
    <x:dxf>
      <x:fill>
        <x:patternFill>
          <x:bgColor rgb="FFD9EAF7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CE4D6"/>
        </x:patternFill>
      </x:fill>
    </x:dxf>
    <x:dxf>
      <x:font>
        <x:b/>
        <x:color rgb="FFFFFFFF"/>
      </x:font>
      <x:fill>
        <x:patternFill>
          <x:bgColor rgb="FF0B3028"/>
        </x:patternFill>
      </x:fill>
    </x:dxf>
    <x:dxf>
      <x:fill>
        <x:patternFill>
          <x:bgColor rgb="FFDDEBE6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7ECEA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F7"/>
        </x:patternFill>
      </x:fill>
    </x:dxf>
    <x:dxf>
      <x:font>
        <x:b/>
      </x:font>
      <x:fill>
        <x:patternFill>
          <x:bgColor rgb="FFDDEBE6"/>
        </x:patternFill>
      </x:fill>
    </x:dxf>
    <x:dxf>
      <x:font>
        <x:b/>
        <x:color rgb="FFFFFFFF"/>
      </x:font>
      <x:fill>
        <x:patternFill>
          <x:bgColor rgb="FF0B3028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D9EAF7"/>
        </x:patternFill>
      </x:fill>
    </x:dxf>
    <x:dxf>
      <x:font>
        <x:b/>
        <x:color rgb="FFFFFFFF"/>
      </x:font>
      <x:fill>
        <x:patternFill>
          <x:bgColor rgb="FF0B3028"/>
        </x:patternFill>
      </x:fill>
    </x:dxf>
    <x:dxf>
      <x:font>
        <x:b/>
        <x:color rgb="FFFFFFFF"/>
      </x:font>
      <x:fill>
        <x:patternFill>
          <x:bgColor rgb="FF0B3028"/>
        </x:patternFill>
      </x:fill>
    </x:dxf>
    <x:dxf>
      <x:font>
        <x:b/>
      </x:font>
      <x:fill>
        <x:patternFill>
          <x:bgColor rgb="FFDDEBE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  <x:color rgb="FFFFFFFF"/>
      </x:font>
      <x:fill>
        <x:patternFill>
          <x:bgColor rgb="FF0B3028"/>
        </x:patternFill>
      </x:fill>
    </x:dxf>
    <x:dxf>
      <x:fill>
        <x:patternFill>
          <x:bgColor rgb="FFDDEBE6"/>
        </x:patternFill>
      </x:fill>
    </x:dxf>
    <x:dxf>
      <x:fill>
        <x:patternFill>
          <x:bgColor rgb="FFD9EAF7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CE4D6"/>
        </x:patternFill>
      </x:fill>
    </x:dxf>
    <x:dxf>
      <x:font>
        <x:b/>
        <x:color rgb="FFFFFFFF"/>
      </x:font>
      <x:fill>
        <x:patternFill>
          <x:bgColor rgb="FF0B3028"/>
        </x:patternFill>
      </x:fill>
    </x:dxf>
    <x:dxf>
      <x:fill>
        <x:patternFill>
          <x:bgColor rgb="FFDDEBE6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7ECEA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F7"/>
        </x:patternFill>
      </x:fill>
    </x:dxf>
    <x:dxf>
      <x:font>
        <x:b/>
      </x:font>
      <x:fill>
        <x:patternFill>
          <x:bgColor rgb="FFDDEBE6"/>
        </x:patternFill>
      </x:fill>
    </x:dxf>
    <x:dxf>
      <x:font>
        <x:b/>
        <x:color rgb="FFFFFFFF"/>
      </x:font>
      <x:fill>
        <x:patternFill>
          <x:bgColor rgb="FF0B3028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D9EAF7"/>
        </x:patternFill>
      </x:fill>
    </x:dxf>
    <x:dxf>
      <x:font>
        <x:b/>
        <x:color rgb="FFFFFFFF"/>
      </x:font>
      <x:fill>
        <x:patternFill>
          <x:bgColor rgb="FF0B3028"/>
        </x:patternFill>
      </x:fill>
    </x:dxf>
    <x:dxf>
      <x:font>
        <x:b/>
        <x:color rgb="FFFFFFFF"/>
      </x:font>
      <x:fill>
        <x:patternFill>
          <x:bgColor rgb="FF0B3028"/>
        </x:patternFill>
      </x:fill>
    </x:dxf>
    <x:dxf>
      <x:font>
        <x:b/>
      </x:font>
      <x:fill>
        <x:patternFill>
          <x:bgColor rgb="FFDDEBE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  <x:color rgb="FFFFFFFF"/>
      </x:font>
      <x:fill>
        <x:patternFill>
          <x:bgColor rgb="FF0B3028"/>
        </x:patternFill>
      </x:fill>
    </x:dxf>
    <x:dxf>
      <x:fill>
        <x:patternFill>
          <x:bgColor rgb="FFDDEBE6"/>
        </x:patternFill>
      </x:fill>
    </x:dxf>
    <x:dxf>
      <x:fill>
        <x:patternFill>
          <x:bgColor rgb="FFD9EAF7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CE4D6"/>
        </x:patternFill>
      </x:fill>
    </x:dxf>
    <x:dxf>
      <x:font>
        <x:b/>
        <x:color rgb="FFFFFFFF"/>
      </x:font>
      <x:fill>
        <x:patternFill>
          <x:bgColor rgb="FF0B3028"/>
        </x:patternFill>
      </x:fill>
    </x:dxf>
    <x:dxf>
      <x:fill>
        <x:patternFill>
          <x:bgColor rgb="FFDDEBE6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7ECEA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F7"/>
        </x:patternFill>
      </x:fill>
    </x:dxf>
    <x:dxf>
      <x:font>
        <x:b/>
      </x:font>
      <x:fill>
        <x:patternFill>
          <x:bgColor rgb="FFDDEBE6"/>
        </x:patternFill>
      </x:fill>
    </x:dxf>
    <x:dxf>
      <x:font>
        <x:b/>
        <x:color rgb="FFFFFFFF"/>
      </x:font>
      <x:fill>
        <x:patternFill>
          <x:bgColor rgb="FF0B3028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D9EAF7"/>
        </x:patternFill>
      </x:fill>
    </x:dxf>
    <x:dxf>
      <x:font>
        <x:b/>
        <x:color rgb="FFFFFFFF"/>
      </x:font>
      <x:fill>
        <x:patternFill>
          <x:bgColor rgb="FF0B3028"/>
        </x:patternFill>
      </x:fill>
    </x:dxf>
    <x:dxf>
      <x:font>
        <x:b/>
        <x:color rgb="FFFFFFFF"/>
      </x:font>
      <x:fill>
        <x:patternFill>
          <x:bgColor rgb="FF0B3028"/>
        </x:patternFill>
      </x:fill>
    </x:dxf>
    <x:dxf>
      <x:font>
        <x:b/>
      </x:font>
      <x:fill>
        <x:patternFill>
          <x:bgColor rgb="FFDDEBE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  <x:color rgb="FFFFFFFF"/>
      </x:font>
      <x:fill>
        <x:patternFill>
          <x:bgColor rgb="FF0B3028"/>
        </x:patternFill>
      </x:fill>
    </x:dxf>
    <x:dxf>
      <x:fill>
        <x:patternFill>
          <x:bgColor rgb="FFDDEBE6"/>
        </x:patternFill>
      </x:fill>
    </x:dxf>
    <x:dxf>
      <x:fill>
        <x:patternFill>
          <x:bgColor rgb="FFD9EAF7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CE4D6"/>
        </x:patternFill>
      </x:fill>
    </x:dxf>
    <x:dxf>
      <x:font>
        <x:b/>
        <x:color rgb="FFFFFFFF"/>
      </x:font>
      <x:fill>
        <x:patternFill>
          <x:bgColor rgb="FF0B3028"/>
        </x:patternFill>
      </x:fill>
    </x:dxf>
    <x:dxf>
      <x:fill>
        <x:patternFill>
          <x:bgColor rgb="FFDDEBE6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7ECEA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F7"/>
        </x:patternFill>
      </x:fill>
    </x:dxf>
    <x:dxf>
      <x:font>
        <x:b/>
      </x:font>
      <x:fill>
        <x:patternFill>
          <x:bgColor rgb="FFDDEBE6"/>
        </x:patternFill>
      </x:fill>
    </x:dxf>
    <x:dxf>
      <x:font>
        <x:b/>
        <x:color rgb="FFFFFFFF"/>
      </x:font>
      <x:fill>
        <x:patternFill>
          <x:bgColor rgb="FF0B3028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D9EAF7"/>
        </x:patternFill>
      </x:fill>
    </x:dxf>
    <x:dxf>
      <x:font>
        <x:b/>
        <x:color rgb="FFFFFFFF"/>
      </x:font>
      <x:fill>
        <x:patternFill>
          <x:bgColor rgb="FF0B3028"/>
        </x:patternFill>
      </x:fill>
    </x:dxf>
    <x:dxf>
      <x:font>
        <x:b/>
        <x:color rgb="FFFFFFFF"/>
      </x:font>
      <x:fill>
        <x:patternFill>
          <x:bgColor rgb="FF0B3028"/>
        </x:patternFill>
      </x:fill>
    </x:dxf>
    <x:dxf>
      <x:font>
        <x:b/>
      </x:font>
      <x:fill>
        <x:patternFill>
          <x:bgColor rgb="FFDDEBE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  <x:color rgb="FFFFFFFF"/>
      </x:font>
      <x:fill>
        <x:patternFill>
          <x:bgColor rgb="FF0B3028"/>
        </x:patternFill>
      </x:fill>
    </x:dxf>
    <x:dxf>
      <x:fill>
        <x:patternFill>
          <x:bgColor rgb="FFDDEBE6"/>
        </x:patternFill>
      </x:fill>
    </x:dxf>
    <x:dxf>
      <x:fill>
        <x:patternFill>
          <x:bgColor rgb="FFD9EAF7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CE4D6"/>
        </x:patternFill>
      </x:fill>
    </x:dxf>
    <x:dxf>
      <x:font>
        <x:b/>
        <x:color rgb="FFFFFFFF"/>
      </x:font>
      <x:fill>
        <x:patternFill>
          <x:bgColor rgb="FF0B3028"/>
        </x:patternFill>
      </x:fill>
    </x:dxf>
    <x:dxf>
      <x:fill>
        <x:patternFill>
          <x:bgColor rgb="FFDDEBE6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7ECEA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F7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DEBE6"/>
        </x:patternFill>
      </x:fill>
    </x:dxf>
    <x:dxf>
      <x:font>
        <x:b/>
        <x:color rgb="FFFFFFFF"/>
      </x:font>
      <x:fill>
        <x:patternFill>
          <x:bgColor rgb="FF0B3028"/>
        </x:patternFill>
      </x:fill>
    </x:dxf>
    <x:dxf>
      <x:font>
        <x:b/>
        <x:color rgb="FF174B2C"/>
      </x:font>
      <x:fill>
        <x:patternFill patternType="solid">
          <x:bgColor rgb="FFD9EAD3"/>
        </x:patternFill>
      </x:fill>
    </x:dxf>
    <x:dxf>
      <x:font>
        <x:b/>
        <x:color rgb="FF12475A"/>
      </x:font>
      <x:fill>
        <x:patternFill patternType="solid">
          <x:bgColor rgb="FFB6DFEF"/>
        </x:patternFill>
      </x:fill>
    </x:dxf>
    <x:dxf>
      <x:font>
        <x:b/>
        <x:color rgb="FF6B5200"/>
      </x:font>
      <x:fill>
        <x:patternFill patternType="solid">
          <x:bgColor rgb="FFFFF1C7"/>
        </x:patternFill>
      </x:fill>
    </x:dxf>
    <x:dxf>
      <x:font>
        <x:color rgb="FF53615D"/>
      </x:font>
      <x:fill>
        <x:patternFill patternType="solid">
          <x:bgColor rgb="FFEEF2F1"/>
        </x:patternFill>
      </x:fill>
    </x:dxf>
    <x:dxf>
      <x:font>
        <x:b/>
        <x:color rgb="FF7A1D1D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5730f0fce345d2" /><Relationship Type="http://schemas.openxmlformats.org/officeDocument/2006/relationships/theme" Target="/xl/theme/theme1.xml" Id="Rf4cdb69f5efd4d8e" /><Relationship Type="http://schemas.openxmlformats.org/officeDocument/2006/relationships/sharedStrings" Target="/xl/sharedStrings.xml" Id="R5b8071f483244ded" /><Relationship Type="http://schemas.openxmlformats.org/officeDocument/2006/relationships/worksheet" Target="/xl/worksheets/sheet1.xml" Id="Rd086120235124ed7" /><Relationship Type="http://schemas.openxmlformats.org/officeDocument/2006/relationships/worksheet" Target="/xl/worksheets/sheet2.xml" Id="R84f1d4662b824dcb" /><Relationship Type="http://schemas.openxmlformats.org/officeDocument/2006/relationships/worksheet" Target="/xl/worksheets/sheet3.xml" Id="R53245044937b4613" /><Relationship Type="http://schemas.openxmlformats.org/officeDocument/2006/relationships/worksheet" Target="/xl/worksheets/sheet4.xml" Id="Rc5d8dbea8de5464b" /><Relationship Type="http://schemas.openxmlformats.org/officeDocument/2006/relationships/worksheet" Target="/xl/worksheets/sheet5.xml" Id="R31cf85c730204684" /><Relationship Type="http://schemas.openxmlformats.org/officeDocument/2006/relationships/worksheet" Target="/xl/worksheets/sheet6.xml" Id="Recca5c276c5e4f69" /><Relationship Type="http://schemas.openxmlformats.org/officeDocument/2006/relationships/worksheet" Target="/xl/worksheets/sheet7.xml" Id="Rc77e5cd43648487e" /><Relationship Type="http://schemas.openxmlformats.org/officeDocument/2006/relationships/worksheet" Target="/xl/worksheets/sheet8.xml" Id="R38a1402f81c34afa" /><Relationship Type="http://schemas.openxmlformats.org/officeDocument/2006/relationships/worksheet" Target="/xl/worksheets/sheet9.xml" Id="R856584c9bc034c69" /><Relationship Type="http://schemas.openxmlformats.org/officeDocument/2006/relationships/worksheet" Target="/xl/worksheets/sheet10.xml" Id="R7a4614e7db5840dd" /><Relationship Type="http://schemas.openxmlformats.org/officeDocument/2006/relationships/worksheet" Target="/xl/worksheets/sheet11.xml" Id="Rab15d63a19174fe2" /><Relationship Type="http://schemas.openxmlformats.org/officeDocument/2006/relationships/worksheet" Target="/xl/worksheets/sheet12.xml" Id="R7d3673686bb64b37" /><Relationship Type="http://schemas.openxmlformats.org/officeDocument/2006/relationships/worksheet" Target="/xl/worksheets/sheet13.xml" Id="Rbef809dc50fd44ab" /><Relationship Type="http://schemas.openxmlformats.org/officeDocument/2006/relationships/worksheet" Target="/xl/worksheets/sheet14.xml" Id="R32f666254a02443b" /><Relationship Type="http://schemas.openxmlformats.org/officeDocument/2006/relationships/worksheet" Target="/xl/worksheets/sheet15.xml" Id="Rbc6dbc006a3e4b9e" /><Relationship Type="http://schemas.openxmlformats.org/officeDocument/2006/relationships/worksheet" Target="/xl/worksheets/sheet16.xml" Id="Ra742043bd9bf4ed8" /><Relationship Type="http://schemas.openxmlformats.org/officeDocument/2006/relationships/worksheet" Target="/xl/worksheets/sheet17.xml" Id="R35a3bb1048f5429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72d5441571943c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Готовность по категориям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Готовность</c:v>
          </c:tx>
          <c:cat>
            <c:strRef>
              <c:f>'Паук'!$AA$5:$AA$17</c:f>
              <c:strCache>
                <c:ptCount val="0"/>
              </c:strCache>
            </c:strRef>
          </c:cat>
          <c:val>
            <c:numRef>
              <c:f>'Паук'!$AB$5:$AB$17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26</xdr:col>
      <xdr:colOff>0</xdr:colOff>
      <xdr:row>18</xdr:row>
      <xdr:rowOff>0</xdr:rowOff>
    </xdr:from>
    <xdr:to>
      <xdr:col>35</xdr:col>
      <xdr:colOff>0</xdr:colOff>
      <xdr:row>40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72d5441571943c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ategory01Table" displayName="Category01Table" ref="A5:P75" headerRowCount="1" totalsRowCount="0" totalsRowShown="0">
  <x:tableColumns count="16">
    <x:tableColumn id="1" name="ID"/>
    <x:tableColumn id="2" name="Подсистема / deliverable"/>
    <x:tableColumn id="3" name="Тип"/>
    <x:tableColumn id="4" name="Артефакт"/>
    <x:tableColumn id="5" name="Документация"/>
    <x:tableColumn id="6" name="Runtime"/>
    <x:tableColumn id="7" name="Проверки"/>
    <x:tableColumn id="8" name="Gate / authority"/>
    <x:tableColumn id="9" name="Приоритет"/>
    <x:tableColumn id="10" name="Следующее действие"/>
    <x:tableColumn id="11" name="Блокер"/>
    <x:tableColumn id="12" name="Owner"/>
    <x:tableColumn id="13" name="Источник / путь"/>
    <x:tableColumn id="14" name="Обновлено"/>
    <x:tableColumn id="15" name="Готовность"/>
    <x:tableColumn id="16" name="Комментарий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tegory02Table" displayName="Category02Table" ref="A5:P75" headerRowCount="1" totalsRowCount="0" totalsRowShown="0">
  <x:tableColumns count="16">
    <x:tableColumn id="1" name="ID"/>
    <x:tableColumn id="2" name="Подсистема / deliverable"/>
    <x:tableColumn id="3" name="Тип"/>
    <x:tableColumn id="4" name="Артефакт"/>
    <x:tableColumn id="5" name="Документация"/>
    <x:tableColumn id="6" name="Runtime"/>
    <x:tableColumn id="7" name="Проверки"/>
    <x:tableColumn id="8" name="Gate / authority"/>
    <x:tableColumn id="9" name="Приоритет"/>
    <x:tableColumn id="10" name="Следующее действие"/>
    <x:tableColumn id="11" name="Блокер"/>
    <x:tableColumn id="12" name="Owner"/>
    <x:tableColumn id="13" name="Источник / путь"/>
    <x:tableColumn id="14" name="Обновлено"/>
    <x:tableColumn id="15" name="Готовность"/>
    <x:tableColumn id="16" name="Комментарий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tegory03Table" displayName="Category03Table" ref="A5:P75" headerRowCount="1" totalsRowCount="0" totalsRowShown="0">
  <x:tableColumns count="16">
    <x:tableColumn id="1" name="ID"/>
    <x:tableColumn id="2" name="Подсистема / deliverable"/>
    <x:tableColumn id="3" name="Тип"/>
    <x:tableColumn id="4" name="Артефакт"/>
    <x:tableColumn id="5" name="Документация"/>
    <x:tableColumn id="6" name="Runtime"/>
    <x:tableColumn id="7" name="Проверки"/>
    <x:tableColumn id="8" name="Gate / authority"/>
    <x:tableColumn id="9" name="Приоритет"/>
    <x:tableColumn id="10" name="Следующее действие"/>
    <x:tableColumn id="11" name="Блокер"/>
    <x:tableColumn id="12" name="Owner"/>
    <x:tableColumn id="13" name="Источник / путь"/>
    <x:tableColumn id="14" name="Обновлено"/>
    <x:tableColumn id="15" name="Готовность"/>
    <x:tableColumn id="16" name="Комментарий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ategory04Table" displayName="Category04Table" ref="A5:P75" headerRowCount="1" totalsRowCount="0" totalsRowShown="0">
  <x:tableColumns count="16">
    <x:tableColumn id="1" name="ID"/>
    <x:tableColumn id="2" name="Подсистема / deliverable"/>
    <x:tableColumn id="3" name="Тип"/>
    <x:tableColumn id="4" name="Артефакт"/>
    <x:tableColumn id="5" name="Документация"/>
    <x:tableColumn id="6" name="Runtime"/>
    <x:tableColumn id="7" name="Проверки"/>
    <x:tableColumn id="8" name="Gate / authority"/>
    <x:tableColumn id="9" name="Приоритет"/>
    <x:tableColumn id="10" name="Следующее действие"/>
    <x:tableColumn id="11" name="Блокер"/>
    <x:tableColumn id="12" name="Owner"/>
    <x:tableColumn id="13" name="Источник / путь"/>
    <x:tableColumn id="14" name="Обновлено"/>
    <x:tableColumn id="15" name="Готовность"/>
    <x:tableColumn id="16" name="Комментарий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ategory05Table" displayName="Category05Table" ref="A5:P75" headerRowCount="1" totalsRowCount="0" totalsRowShown="0">
  <x:tableColumns count="16">
    <x:tableColumn id="1" name="ID"/>
    <x:tableColumn id="2" name="Подсистема / deliverable"/>
    <x:tableColumn id="3" name="Тип"/>
    <x:tableColumn id="4" name="Артефакт"/>
    <x:tableColumn id="5" name="Документация"/>
    <x:tableColumn id="6" name="Runtime"/>
    <x:tableColumn id="7" name="Проверки"/>
    <x:tableColumn id="8" name="Gate / authority"/>
    <x:tableColumn id="9" name="Приоритет"/>
    <x:tableColumn id="10" name="Следующее действие"/>
    <x:tableColumn id="11" name="Блокер"/>
    <x:tableColumn id="12" name="Owner"/>
    <x:tableColumn id="13" name="Источник / путь"/>
    <x:tableColumn id="14" name="Обновлено"/>
    <x:tableColumn id="15" name="Готовность"/>
    <x:tableColumn id="16" name="Комментарий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ategory06Table" displayName="Category06Table" ref="A5:P75" headerRowCount="1" totalsRowCount="0" totalsRowShown="0">
  <x:tableColumns count="16">
    <x:tableColumn id="1" name="ID"/>
    <x:tableColumn id="2" name="Подсистема / deliverable"/>
    <x:tableColumn id="3" name="Тип"/>
    <x:tableColumn id="4" name="Артефакт"/>
    <x:tableColumn id="5" name="Документация"/>
    <x:tableColumn id="6" name="Runtime"/>
    <x:tableColumn id="7" name="Проверки"/>
    <x:tableColumn id="8" name="Gate / authority"/>
    <x:tableColumn id="9" name="Приоритет"/>
    <x:tableColumn id="10" name="Следующее действие"/>
    <x:tableColumn id="11" name="Блокер"/>
    <x:tableColumn id="12" name="Owner"/>
    <x:tableColumn id="13" name="Источник / путь"/>
    <x:tableColumn id="14" name="Обновлено"/>
    <x:tableColumn id="15" name="Готовность"/>
    <x:tableColumn id="16" name="Комментарий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ategory07Table" displayName="Category07Table" ref="A5:P75" headerRowCount="1" totalsRowCount="0" totalsRowShown="0">
  <x:tableColumns count="16">
    <x:tableColumn id="1" name="ID"/>
    <x:tableColumn id="2" name="Подсистема / deliverable"/>
    <x:tableColumn id="3" name="Тип"/>
    <x:tableColumn id="4" name="Артефакт"/>
    <x:tableColumn id="5" name="Документация"/>
    <x:tableColumn id="6" name="Runtime"/>
    <x:tableColumn id="7" name="Проверки"/>
    <x:tableColumn id="8" name="Gate / authority"/>
    <x:tableColumn id="9" name="Приоритет"/>
    <x:tableColumn id="10" name="Следующее действие"/>
    <x:tableColumn id="11" name="Блокер"/>
    <x:tableColumn id="12" name="Owner"/>
    <x:tableColumn id="13" name="Источник / путь"/>
    <x:tableColumn id="14" name="Обновлено"/>
    <x:tableColumn id="15" name="Готовность"/>
    <x:tableColumn id="16" name="Комментарий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ategory08Table" displayName="Category08Table" ref="A5:P75" headerRowCount="1" totalsRowCount="0" totalsRowShown="0">
  <x:tableColumns count="16">
    <x:tableColumn id="1" name="ID"/>
    <x:tableColumn id="2" name="Подсистема / deliverable"/>
    <x:tableColumn id="3" name="Тип"/>
    <x:tableColumn id="4" name="Артефакт"/>
    <x:tableColumn id="5" name="Документация"/>
    <x:tableColumn id="6" name="Runtime"/>
    <x:tableColumn id="7" name="Проверки"/>
    <x:tableColumn id="8" name="Gate / authority"/>
    <x:tableColumn id="9" name="Приоритет"/>
    <x:tableColumn id="10" name="Следующее действие"/>
    <x:tableColumn id="11" name="Блокер"/>
    <x:tableColumn id="12" name="Owner"/>
    <x:tableColumn id="13" name="Источник / путь"/>
    <x:tableColumn id="14" name="Обновлено"/>
    <x:tableColumn id="15" name="Готовность"/>
    <x:tableColumn id="16" name="Комментарий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ategory09Table" displayName="Category09Table" ref="A5:P75" headerRowCount="1" totalsRowCount="0" totalsRowShown="0">
  <x:tableColumns count="16">
    <x:tableColumn id="1" name="ID"/>
    <x:tableColumn id="2" name="Подсистема / deliverable"/>
    <x:tableColumn id="3" name="Тип"/>
    <x:tableColumn id="4" name="Артефакт"/>
    <x:tableColumn id="5" name="Документация"/>
    <x:tableColumn id="6" name="Runtime"/>
    <x:tableColumn id="7" name="Проверки"/>
    <x:tableColumn id="8" name="Gate / authority"/>
    <x:tableColumn id="9" name="Приоритет"/>
    <x:tableColumn id="10" name="Следующее действие"/>
    <x:tableColumn id="11" name="Блокер"/>
    <x:tableColumn id="12" name="Owner"/>
    <x:tableColumn id="13" name="Источник / путь"/>
    <x:tableColumn id="14" name="Обновлено"/>
    <x:tableColumn id="15" name="Готовность"/>
    <x:tableColumn id="16" name="Комментарий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ategory10Table" displayName="Category10Table" ref="A5:P75" headerRowCount="1" totalsRowCount="0" totalsRowShown="0">
  <x:tableColumns count="16">
    <x:tableColumn id="1" name="ID"/>
    <x:tableColumn id="2" name="Подсистема / deliverable"/>
    <x:tableColumn id="3" name="Тип"/>
    <x:tableColumn id="4" name="Артефакт"/>
    <x:tableColumn id="5" name="Документация"/>
    <x:tableColumn id="6" name="Runtime"/>
    <x:tableColumn id="7" name="Проверки"/>
    <x:tableColumn id="8" name="Gate / authority"/>
    <x:tableColumn id="9" name="Приоритет"/>
    <x:tableColumn id="10" name="Следующее действие"/>
    <x:tableColumn id="11" name="Блокер"/>
    <x:tableColumn id="12" name="Owner"/>
    <x:tableColumn id="13" name="Источник / путь"/>
    <x:tableColumn id="14" name="Обновлено"/>
    <x:tableColumn id="15" name="Готовность"/>
    <x:tableColumn id="16" name="Комментарий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Category11Table" displayName="Category11Table" ref="A5:P75" headerRowCount="1" totalsRowCount="0" totalsRowShown="0">
  <x:tableColumns count="16">
    <x:tableColumn id="1" name="ID"/>
    <x:tableColumn id="2" name="Подсистема / deliverable"/>
    <x:tableColumn id="3" name="Тип"/>
    <x:tableColumn id="4" name="Артефакт"/>
    <x:tableColumn id="5" name="Документация"/>
    <x:tableColumn id="6" name="Runtime"/>
    <x:tableColumn id="7" name="Проверки"/>
    <x:tableColumn id="8" name="Gate / authority"/>
    <x:tableColumn id="9" name="Приоритет"/>
    <x:tableColumn id="10" name="Следующее действие"/>
    <x:tableColumn id="11" name="Блокер"/>
    <x:tableColumn id="12" name="Owner"/>
    <x:tableColumn id="13" name="Источник / путь"/>
    <x:tableColumn id="14" name="Обновлено"/>
    <x:tableColumn id="15" name="Готовность"/>
    <x:tableColumn id="16" name="Комментарий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Category12Table" displayName="Category12Table" ref="A5:P75" headerRowCount="1" totalsRowCount="0" totalsRowShown="0">
  <x:tableColumns count="16">
    <x:tableColumn id="1" name="ID"/>
    <x:tableColumn id="2" name="Подсистема / deliverable"/>
    <x:tableColumn id="3" name="Тип"/>
    <x:tableColumn id="4" name="Артефакт"/>
    <x:tableColumn id="5" name="Документация"/>
    <x:tableColumn id="6" name="Runtime"/>
    <x:tableColumn id="7" name="Проверки"/>
    <x:tableColumn id="8" name="Gate / authority"/>
    <x:tableColumn id="9" name="Приоритет"/>
    <x:tableColumn id="10" name="Следующее действие"/>
    <x:tableColumn id="11" name="Блокер"/>
    <x:tableColumn id="12" name="Owner"/>
    <x:tableColumn id="13" name="Источник / путь"/>
    <x:tableColumn id="14" name="Обновлено"/>
    <x:tableColumn id="15" name="Готовность"/>
    <x:tableColumn id="16" name="Комментарий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Category13Table" displayName="Category13Table" ref="A5:P75" headerRowCount="1" totalsRowCount="0" totalsRowShown="0">
  <x:tableColumns count="16">
    <x:tableColumn id="1" name="ID"/>
    <x:tableColumn id="2" name="Подсистема / deliverable"/>
    <x:tableColumn id="3" name="Тип"/>
    <x:tableColumn id="4" name="Артефакт"/>
    <x:tableColumn id="5" name="Документация"/>
    <x:tableColumn id="6" name="Runtime"/>
    <x:tableColumn id="7" name="Проверки"/>
    <x:tableColumn id="8" name="Gate / authority"/>
    <x:tableColumn id="9" name="Приоритет"/>
    <x:tableColumn id="10" name="Следующее действие"/>
    <x:tableColumn id="11" name="Блокер"/>
    <x:tableColumn id="12" name="Owner"/>
    <x:tableColumn id="13" name="Источник / путь"/>
    <x:tableColumn id="14" name="Обновлено"/>
    <x:tableColumn id="15" name="Готовность"/>
    <x:tableColumn id="16" name="Комментарий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FileRegistryTable" displayName="FileRegistryTable" ref="A5:K189" headerRowCount="1" totalsRowCount="0" totalsRowShown="0">
  <x:tableColumns count="11">
    <x:tableColumn id="1" name="Путь"/>
    <x:tableColumn id="2" name="Категория"/>
    <x:tableColumn id="3" name="Тип"/>
    <x:tableColumn id="4" name="Статус"/>
    <x:tableColumn id="5" name="Версия"/>
    <x:tableColumn id="6" name="Дата в документе"/>
    <x:tableColumn id="7" name="Runtime/effect"/>
    <x:tableColumn id="8" name="Физически есть"/>
    <x:tableColumn id="9" name="Bytes"/>
    <x:tableColumn id="10" name="Изменён"/>
    <x:tableColumn id="11" name="Комментари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e892c2f863f45a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56f1b76834734b9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2f65bdfe798f4f9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233475f310814c2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7733953f189541f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43c95b706c72497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f59ed15aaf5b4ec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48be1ab0b068422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0dfbdcd3c6fe41f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fb667b8886042d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004169de2a6045a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4d819fbfb4984ae7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d9e85c246176458c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3.xml" Id="Ref78194bbecd4b04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4.xml" Id="Rbc7a3841c8374b2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7" max="27" width="25" hidden="0" customWidth="1"/>
    <x:col min="28" max="28" width="16" hidden="0" customWidth="1"/>
    <x:col min="1" max="1" width="10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</x:cols>
  <x:sheetData>
    <x:row r="1" ht="42" customHeight="1">
      <x:c r="A1" s="83" t="str">
        <x:v>RECHARGE — ПОЛНАЯ КАРТА ПРОЕКТА</x:v>
      </x:c>
      <x:c r="B1" s="83"/>
      <x:c r="C1" s="83"/>
      <x:c r="D1" s="83"/>
      <x:c r="E1" s="83"/>
      <x:c r="F1" s="83"/>
      <x:c r="G1" s="83"/>
      <x:c r="H1" s="83"/>
      <x:c r="I1" s="83"/>
      <x:c r="J1" s="83"/>
      <x:c r="K1" s="83"/>
      <x:c r="L1" s="83"/>
      <x:c r="M1" s="83"/>
      <x:c r="N1" s="83"/>
      <x:c r="O1" s="83"/>
      <x:c r="P1" s="83"/>
      <x:c r="Q1" s="83"/>
      <x:c r="R1" s="83"/>
      <x:c r="S1" s="83"/>
      <x:c r="T1" s="83"/>
      <x:c r="U1" s="83"/>
      <x:c r="V1" s="83"/>
      <x:c r="W1" s="83"/>
      <x:c r="X1" s="83"/>
    </x:row>
    <x:row r="2">
      <x:c r="A2" s="84" t="str">
        <x:v>Три слоя: Product · Delivery · Governance. Нажмите на узел, чтобы перейти в подробную таблицу; готовность пересчитывается автоматически.</x:v>
      </x:c>
      <x:c r="B2" s="84"/>
      <x:c r="C2" s="84"/>
      <x:c r="D2" s="84"/>
      <x:c r="E2" s="84"/>
      <x:c r="F2" s="84"/>
      <x:c r="G2" s="84"/>
      <x:c r="H2" s="84"/>
      <x:c r="I2" s="84"/>
      <x:c r="J2" s="84"/>
      <x:c r="K2" s="84"/>
      <x:c r="L2" s="84"/>
      <x:c r="M2" s="84"/>
      <x:c r="N2" s="84"/>
      <x:c r="O2" s="84"/>
      <x:c r="P2" s="84"/>
      <x:c r="Q2" s="84"/>
      <x:c r="R2" s="84"/>
      <x:c r="S2" s="84"/>
      <x:c r="T2" s="84"/>
      <x:c r="U2" s="84"/>
      <x:c r="V2" s="84"/>
      <x:c r="W2" s="84"/>
      <x:c r="X2" s="84"/>
    </x:row>
    <x:row r="3" ht="24" customHeight="1"/>
    <x:row r="4" ht="24" customHeight="1">
      <x:c r="A4" s="147" t="e">
        <x:f>HYPERLINK("#'Product Categories'!A1","PRODUCT CATEGORIES"&amp;CHAR(10)&amp;TEXT($AB$5,"0%")&amp;" готовности")</x:f>
        <x:v>HYPERLINK is not implemented. linkLocation=#'Product Categories'!A1, friendlyName=PRODUCT CATEGORIES
57% готовности</x:v>
      </x:c>
      <x:c r="B4" s="148"/>
      <x:c r="C4" s="148"/>
      <x:c r="D4" s="149"/>
      <x:c r="E4" s="147" t="e">
        <x:f>HYPERLINK("#'Create Hub'!A1","CREATE HUB"&amp;CHAR(10)&amp;TEXT($AB$6,"0%")&amp;" готовности")</x:f>
        <x:v>HYPERLINK is not implemented. linkLocation=#'Create Hub'!A1, friendlyName=CREATE HUB
66% готовности</x:v>
      </x:c>
      <x:c r="F4" s="148"/>
      <x:c r="G4" s="148"/>
      <x:c r="H4" s="149"/>
      <x:c r="I4" s="147" t="e">
        <x:f>HYPERLINK("#'Identity Profiles'!A1","IDENTITY &amp; PROFILES"&amp;CHAR(10)&amp;TEXT($AB$7,"0%")&amp;" готовности")</x:f>
        <x:v>HYPERLINK is not implemented. linkLocation=#'Identity Profiles'!A1, friendlyName=IDENTITY &amp; PROFILES
49% готовности</x:v>
      </x:c>
      <x:c r="J4" s="148"/>
      <x:c r="K4" s="148"/>
      <x:c r="L4" s="149"/>
      <x:c r="M4" s="147" t="e">
        <x:f>HYPERLINK("#'Booking'!A1","BOOKING"&amp;CHAR(10)&amp;TEXT($AB$8,"0%")&amp;" готовности")</x:f>
        <x:v>HYPERLINK is not implemented. linkLocation=#'Booking'!A1, friendlyName=BOOKING
41% готовности</x:v>
      </x:c>
      <x:c r="N4" s="148"/>
      <x:c r="O4" s="148"/>
      <x:c r="P4" s="149"/>
      <x:c r="Q4" s="147" t="e">
        <x:f>HYPERLINK("#'AI'!A1","AI"&amp;CHAR(10)&amp;TEXT($AB$9,"0%")&amp;" готовности")</x:f>
        <x:v>HYPERLINK is not implemented. linkLocation=#'AI'!A1, friendlyName=AI
50% готовности</x:v>
      </x:c>
      <x:c r="R4" s="148"/>
      <x:c r="S4" s="148"/>
      <x:c r="T4" s="149"/>
      <x:c r="U4" s="147" t="e">
        <x:f>HYPERLINK("#'Market Rollout'!A1","MARKET ROLLOUT"&amp;CHAR(10)&amp;TEXT($AB$10,"0%")&amp;" готовности")</x:f>
        <x:v>HYPERLINK is not implemented. linkLocation=#'Market Rollout'!A1, friendlyName=MARKET ROLLOUT
14% готовности</x:v>
      </x:c>
      <x:c r="V4" s="148"/>
      <x:c r="W4" s="148"/>
      <x:c r="X4" s="149"/>
      <x:c r="AA4" s="8" t="str">
        <x:v>Категория</x:v>
      </x:c>
      <x:c r="AB4" s="8" t="str">
        <x:v>Готовность</x:v>
      </x:c>
    </x:row>
    <x:row r="5" ht="24" customHeight="1">
      <x:c r="A5" s="150"/>
      <x:c r="B5" s="151"/>
      <x:c r="C5" s="151"/>
      <x:c r="D5" s="152"/>
      <x:c r="E5" s="150"/>
      <x:c r="F5" s="151"/>
      <x:c r="G5" s="151"/>
      <x:c r="H5" s="152"/>
      <x:c r="I5" s="150"/>
      <x:c r="J5" s="151"/>
      <x:c r="K5" s="151"/>
      <x:c r="L5" s="152"/>
      <x:c r="M5" s="150"/>
      <x:c r="N5" s="151"/>
      <x:c r="O5" s="151"/>
      <x:c r="P5" s="152"/>
      <x:c r="Q5" s="150"/>
      <x:c r="R5" s="151"/>
      <x:c r="S5" s="151"/>
      <x:c r="T5" s="152"/>
      <x:c r="U5" s="150"/>
      <x:c r="V5" s="151"/>
      <x:c r="W5" s="151"/>
      <x:c r="X5" s="152"/>
      <x:c r="AA5" t="str">
        <x:v>Product Categories</x:v>
      </x:c>
      <x:c r="AB5" s="9" t="n">
        <x:f>IFERROR(SUM('Product Categories'!$O$6:$O$75)/COUNTA('Product Categories'!$B$6:$B$75),0)</x:f>
        <x:v>0.5660000000000001</x:v>
      </x:c>
    </x:row>
    <x:row r="6" ht="24" customHeight="1">
      <x:c r="A6" s="153"/>
      <x:c r="B6" s="154"/>
      <x:c r="C6" s="154"/>
      <x:c r="D6" s="155"/>
      <x:c r="E6" s="153"/>
      <x:c r="F6" s="154"/>
      <x:c r="G6" s="154"/>
      <x:c r="H6" s="155"/>
      <x:c r="I6" s="153"/>
      <x:c r="J6" s="154"/>
      <x:c r="K6" s="154"/>
      <x:c r="L6" s="155"/>
      <x:c r="M6" s="153"/>
      <x:c r="N6" s="154"/>
      <x:c r="O6" s="154"/>
      <x:c r="P6" s="155"/>
      <x:c r="Q6" s="153"/>
      <x:c r="R6" s="154"/>
      <x:c r="S6" s="154"/>
      <x:c r="T6" s="155"/>
      <x:c r="U6" s="153"/>
      <x:c r="V6" s="154"/>
      <x:c r="W6" s="154"/>
      <x:c r="X6" s="155"/>
      <x:c r="AA6" t="str">
        <x:v>Create Hub</x:v>
      </x:c>
      <x:c r="AB6" s="9" t="n">
        <x:f>IFERROR(SUM('Create Hub'!$O$6:$O$75)/COUNTA('Create Hub'!$B$6:$B$75),0)</x:f>
        <x:v>0.6641393442622953</x:v>
      </x:c>
    </x:row>
    <x:row r="7" ht="24" customHeight="1">
      <x:c r="AA7" t="str">
        <x:v>Identity Profiles</x:v>
      </x:c>
      <x:c r="AB7" s="9" t="n">
        <x:f>IFERROR(SUM('Identity Profiles'!$O$6:$O$75)/COUNTA('Identity Profiles'!$B$6:$B$75),0)</x:f>
        <x:v>0.4880434782608695</x:v>
      </x:c>
    </x:row>
    <x:row r="8" ht="24" customHeight="1">
      <x:c r="AA8" t="str">
        <x:v>Booking</x:v>
      </x:c>
      <x:c r="AB8" s="9" t="n">
        <x:f>IFERROR(SUM('Booking'!$O$6:$O$75)/COUNTA('Booking'!$B$6:$B$75),0)</x:f>
        <x:v>0.4142045454545454</x:v>
      </x:c>
    </x:row>
    <x:row r="9" ht="24" customHeight="1">
      <x:c r="G9" s="230" t="str">
        <x:v>PRODUCT LAYER ↑</x:v>
      </x:c>
      <x:c r="H9" s="230"/>
      <x:c r="I9" s="230"/>
      <x:c r="J9" s="230"/>
      <x:c r="K9" s="230"/>
      <x:c r="L9" s="230"/>
      <x:c r="M9" s="230"/>
      <x:c r="N9" s="230"/>
      <x:c r="O9" s="230"/>
      <x:c r="P9" s="230"/>
      <x:c r="Q9" s="230"/>
      <x:c r="R9" s="230"/>
      <x:c r="AA9" t="str">
        <x:v>AI</x:v>
      </x:c>
      <x:c r="AB9" s="9" t="n">
        <x:f>IFERROR(SUM('AI'!$O$6:$O$75)/COUNTA('AI'!$B$6:$B$75),0)</x:f>
        <x:v>0.5008333333333334</x:v>
      </x:c>
    </x:row>
    <x:row r="10" ht="24" customHeight="1">
      <x:c r="A10" s="184" t="e">
        <x:f>HYPERLINK("#'Mobile'!A1","MOBILE"&amp;CHAR(10)&amp;TEXT($AB$11,"0%")&amp;" готовности")</x:f>
        <x:v>HYPERLINK is not implemented. linkLocation=#'Mobile'!A1, friendlyName=MOBILE
62% готовности</x:v>
      </x:c>
      <x:c r="B10" s="185"/>
      <x:c r="C10" s="185"/>
      <x:c r="D10" s="185"/>
      <x:c r="E10" s="185"/>
      <x:c r="F10" s="186"/>
      <x:c r="S10" s="221" t="e">
        <x:f>HYPERLINK("#'Security Privacy'!A1","SECURITY &amp; PRIVACY"&amp;CHAR(10)&amp;TEXT($AB$14,"0%")&amp;" готовности")</x:f>
        <x:v>HYPERLINK is not implemented. linkLocation=#'Security Privacy'!A1, friendlyName=SECURITY &amp; PRIVACY
27% готовности</x:v>
      </x:c>
      <x:c r="T10" s="222"/>
      <x:c r="U10" s="222"/>
      <x:c r="V10" s="222"/>
      <x:c r="W10" s="222"/>
      <x:c r="X10" s="223"/>
      <x:c r="AA10" t="str">
        <x:v>Market Rollout</x:v>
      </x:c>
      <x:c r="AB10" s="9" t="n">
        <x:f>IFERROR(SUM('Market Rollout'!$O$6:$O$75)/COUNTA('Market Rollout'!$B$6:$B$75),0)</x:f>
        <x:v>0.1421296296296296</x:v>
      </x:c>
    </x:row>
    <x:row r="11" ht="24" customHeight="1">
      <x:c r="A11" s="187"/>
      <x:c r="B11" s="188"/>
      <x:c r="C11" s="188"/>
      <x:c r="D11" s="188"/>
      <x:c r="E11" s="188"/>
      <x:c r="F11" s="189"/>
      <x:c r="J11" s="111" t="str">
        <x:v>RECHARGE
SYSTEM MAP</x:v>
      </x:c>
      <x:c r="K11" s="112"/>
      <x:c r="L11" s="112"/>
      <x:c r="M11" s="112"/>
      <x:c r="N11" s="112"/>
      <x:c r="O11" s="113"/>
      <x:c r="S11" s="224"/>
      <x:c r="T11" s="225"/>
      <x:c r="U11" s="225"/>
      <x:c r="V11" s="225"/>
      <x:c r="W11" s="225"/>
      <x:c r="X11" s="226"/>
      <x:c r="AA11" t="str">
        <x:v>Mobile</x:v>
      </x:c>
      <x:c r="AB11" s="9" t="n">
        <x:f>IFERROR(SUM('Mobile'!$O$6:$O$75)/COUNTA('Mobile'!$B$6:$B$75),0)</x:f>
        <x:v>0.6220833333333337</x:v>
      </x:c>
    </x:row>
    <x:row r="12" ht="24" customHeight="1">
      <x:c r="A12" s="190"/>
      <x:c r="B12" s="191"/>
      <x:c r="C12" s="191"/>
      <x:c r="D12" s="191"/>
      <x:c r="E12" s="191"/>
      <x:c r="F12" s="192"/>
      <x:c r="J12" s="114"/>
      <x:c r="K12" s="115"/>
      <x:c r="L12" s="115"/>
      <x:c r="M12" s="115"/>
      <x:c r="N12" s="115"/>
      <x:c r="O12" s="116"/>
      <x:c r="S12" s="227"/>
      <x:c r="T12" s="228"/>
      <x:c r="U12" s="228"/>
      <x:c r="V12" s="228"/>
      <x:c r="W12" s="228"/>
      <x:c r="X12" s="229"/>
      <x:c r="AA12" t="str">
        <x:v>Backend</x:v>
      </x:c>
      <x:c r="AB12" s="9" t="n">
        <x:f>IFERROR(SUM('Backend'!$O$6:$O$75)/COUNTA('Backend'!$B$6:$B$75),0)</x:f>
        <x:v>0.31053571428571414</x:v>
      </x:c>
    </x:row>
    <x:row r="13" ht="24" customHeight="1">
      <x:c r="J13" s="114"/>
      <x:c r="K13" s="115"/>
      <x:c r="L13" s="115"/>
      <x:c r="M13" s="115"/>
      <x:c r="N13" s="115"/>
      <x:c r="O13" s="116"/>
      <x:c r="AA13" t="str">
        <x:v>API Contracts</x:v>
      </x:c>
      <x:c r="AB13" s="9" t="n">
        <x:f>IFERROR(SUM('API Contracts'!$O$6:$O$75)/COUNTA('API Contracts'!$B$6:$B$75),0)</x:f>
        <x:v>0.32430555555555574</x:v>
      </x:c>
    </x:row>
    <x:row r="14" ht="24" customHeight="1">
      <x:c r="A14" s="184" t="e">
        <x:f>HYPERLINK("#'Backend'!A1","BACKEND"&amp;CHAR(10)&amp;TEXT($AB$12,"0%")&amp;" готовности")</x:f>
        <x:v>HYPERLINK is not implemented. linkLocation=#'Backend'!A1, friendlyName=BACKEND
31% готовности</x:v>
      </x:c>
      <x:c r="B14" s="185"/>
      <x:c r="C14" s="185"/>
      <x:c r="D14" s="185"/>
      <x:c r="E14" s="185"/>
      <x:c r="F14" s="186"/>
      <x:c r="J14" s="114"/>
      <x:c r="K14" s="115"/>
      <x:c r="L14" s="115"/>
      <x:c r="M14" s="115"/>
      <x:c r="N14" s="115"/>
      <x:c r="O14" s="116"/>
      <x:c r="S14" s="221" t="e">
        <x:f>HYPERLINK("#'Architecture ADR'!A1","ARCHITECTURE &amp; ADR"&amp;CHAR(10)&amp;TEXT($AB$15,"0%")&amp;" готовности")</x:f>
        <x:v>HYPERLINK is not implemented. linkLocation=#'Architecture ADR'!A1, friendlyName=ARCHITECTURE &amp; ADR
89% готовности</x:v>
      </x:c>
      <x:c r="T14" s="222"/>
      <x:c r="U14" s="222"/>
      <x:c r="V14" s="222"/>
      <x:c r="W14" s="222"/>
      <x:c r="X14" s="223"/>
      <x:c r="AA14" t="str">
        <x:v>Security Privacy</x:v>
      </x:c>
      <x:c r="AB14" s="9" t="n">
        <x:f>IFERROR(SUM('Security Privacy'!$O$6:$O$75)/COUNTA('Security Privacy'!$B$6:$B$75),0)</x:f>
        <x:v>0.26842105263157895</x:v>
      </x:c>
    </x:row>
    <x:row r="15" ht="24" customHeight="1">
      <x:c r="A15" s="187"/>
      <x:c r="B15" s="188"/>
      <x:c r="C15" s="188"/>
      <x:c r="D15" s="188"/>
      <x:c r="E15" s="188"/>
      <x:c r="F15" s="189"/>
      <x:c r="J15" s="117"/>
      <x:c r="K15" s="118"/>
      <x:c r="L15" s="118"/>
      <x:c r="M15" s="118"/>
      <x:c r="N15" s="118"/>
      <x:c r="O15" s="119"/>
      <x:c r="S15" s="224"/>
      <x:c r="T15" s="225"/>
      <x:c r="U15" s="225"/>
      <x:c r="V15" s="225"/>
      <x:c r="W15" s="225"/>
      <x:c r="X15" s="226"/>
      <x:c r="AA15" t="str">
        <x:v>Architecture ADR</x:v>
      </x:c>
      <x:c r="AB15" s="9" t="n">
        <x:f>IFERROR(SUM('Architecture ADR'!$O$6:$O$75)/COUNTA('Architecture ADR'!$B$6:$B$75),0)</x:f>
        <x:v>0.8907894736842106</x:v>
      </x:c>
    </x:row>
    <x:row r="16" ht="24" customHeight="1">
      <x:c r="A16" s="190"/>
      <x:c r="B16" s="191"/>
      <x:c r="C16" s="191"/>
      <x:c r="D16" s="191"/>
      <x:c r="E16" s="191"/>
      <x:c r="F16" s="192"/>
      <x:c r="S16" s="227"/>
      <x:c r="T16" s="228"/>
      <x:c r="U16" s="228"/>
      <x:c r="V16" s="228"/>
      <x:c r="W16" s="228"/>
      <x:c r="X16" s="229"/>
      <x:c r="AA16" t="str">
        <x:v>Testing CI</x:v>
      </x:c>
      <x:c r="AB16" s="9" t="n">
        <x:f>IFERROR(SUM('Testing CI'!$O$6:$O$75)/COUNTA('Testing CI'!$B$6:$B$75),0)</x:f>
        <x:v>0.6508333333333334</x:v>
      </x:c>
    </x:row>
    <x:row r="17" ht="24" customHeight="1">
      <x:c r="G17" s="232" t="str">
        <x:v>← DELIVERY · GOVERNANCE →</x:v>
      </x:c>
      <x:c r="H17" s="232"/>
      <x:c r="I17" s="232"/>
      <x:c r="J17" s="232"/>
      <x:c r="K17" s="232"/>
      <x:c r="L17" s="232"/>
      <x:c r="M17" s="232"/>
      <x:c r="N17" s="232"/>
      <x:c r="O17" s="232"/>
      <x:c r="P17" s="232"/>
      <x:c r="Q17" s="232"/>
      <x:c r="R17" s="232"/>
      <x:c r="AA17" t="str">
        <x:v>Documentation</x:v>
      </x:c>
      <x:c r="AB17" s="9" t="n">
        <x:f>IFERROR(SUM('Documentation'!$O$6:$O$75)/COUNTA('Documentation'!$B$6:$B$75),0)</x:f>
        <x:v>0.6668749999999999</x:v>
      </x:c>
    </x:row>
    <x:row r="18" ht="24" customHeight="1">
      <x:c r="A18" s="184" t="e">
        <x:f>HYPERLINK("#'API Contracts'!A1","API CONTRACTS"&amp;CHAR(10)&amp;TEXT($AB$13,"0%")&amp;" готовности")</x:f>
        <x:v>HYPERLINK is not implemented. linkLocation=#'API Contracts'!A1, friendlyName=API CONTRACTS
32% готовности</x:v>
      </x:c>
      <x:c r="B18" s="185"/>
      <x:c r="C18" s="185"/>
      <x:c r="D18" s="185"/>
      <x:c r="E18" s="185"/>
      <x:c r="F18" s="186"/>
      <x:c r="S18" s="221" t="e">
        <x:f>HYPERLINK("#'Testing CI'!A1","TESTING &amp; CI"&amp;CHAR(10)&amp;TEXT($AB$16,"0%")&amp;" готовности")</x:f>
        <x:v>HYPERLINK is not implemented. linkLocation=#'Testing CI'!A1, friendlyName=TESTING &amp; CI
65% готовности</x:v>
      </x:c>
      <x:c r="T18" s="222"/>
      <x:c r="U18" s="222"/>
      <x:c r="V18" s="222"/>
      <x:c r="W18" s="222"/>
      <x:c r="X18" s="223"/>
    </x:row>
    <x:row r="19" ht="24" customHeight="1">
      <x:c r="A19" s="187"/>
      <x:c r="B19" s="188"/>
      <x:c r="C19" s="188"/>
      <x:c r="D19" s="188"/>
      <x:c r="E19" s="188"/>
      <x:c r="F19" s="189"/>
      <x:c r="S19" s="224"/>
      <x:c r="T19" s="225"/>
      <x:c r="U19" s="225"/>
      <x:c r="V19" s="225"/>
      <x:c r="W19" s="225"/>
      <x:c r="X19" s="226"/>
    </x:row>
    <x:row r="20" ht="24" customHeight="1">
      <x:c r="A20" s="190"/>
      <x:c r="B20" s="191"/>
      <x:c r="C20" s="191"/>
      <x:c r="D20" s="191"/>
      <x:c r="E20" s="191"/>
      <x:c r="F20" s="192"/>
      <x:c r="S20" s="227"/>
      <x:c r="T20" s="228"/>
      <x:c r="U20" s="228"/>
      <x:c r="V20" s="228"/>
      <x:c r="W20" s="228"/>
      <x:c r="X20" s="229"/>
    </x:row>
    <x:row r="21" ht="24" customHeight="1"/>
    <x:row r="22" ht="24" customHeight="1">
      <x:c r="S22" s="221" t="e">
        <x:f>HYPERLINK("#'Documentation'!A1","DOCUMENTATION"&amp;CHAR(10)&amp;TEXT($AB$17,"0%")&amp;" готовности")</x:f>
        <x:v>HYPERLINK is not implemented. linkLocation=#'Documentation'!A1, friendlyName=DOCUMENTATION
67% готовности</x:v>
      </x:c>
      <x:c r="T22" s="222"/>
      <x:c r="U22" s="222"/>
      <x:c r="V22" s="222"/>
      <x:c r="W22" s="222"/>
      <x:c r="X22" s="223"/>
    </x:row>
    <x:row r="23" ht="24" customHeight="1">
      <x:c r="S23" s="224"/>
      <x:c r="T23" s="225"/>
      <x:c r="U23" s="225"/>
      <x:c r="V23" s="225"/>
      <x:c r="W23" s="225"/>
      <x:c r="X23" s="226"/>
    </x:row>
    <x:row r="24" ht="24" customHeight="1">
      <x:c r="S24" s="227"/>
      <x:c r="T24" s="228"/>
      <x:c r="U24" s="228"/>
      <x:c r="V24" s="228"/>
      <x:c r="W24" s="228"/>
      <x:c r="X24" s="229"/>
    </x:row>
    <x:row r="25" ht="24" customHeight="1"/>
    <x:row r="26" ht="24" customHeight="1"/>
    <x:row r="27" ht="24" customHeight="1">
      <x:c r="A27" s="12" t="str">
        <x:v>КАК РАБОТАТЬ С КАРТОЙ</x:v>
      </x:c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  <x:c r="U27" s="12"/>
      <x:c r="V27" s="12"/>
      <x:c r="W27" s="12"/>
      <x:c r="X27" s="12"/>
    </x:row>
    <x:row r="28" ht="24" customHeight="1">
      <x:c r="A28" s="251" t="str">
        <x:v>1. Выберите категорию.  2. В таблице отдельно меняйте Artifact, Documentation, Runtime и Verification.  3. Фильтруйте P0/P1 и блокеры.  4. Используйте Backend для BCK-01–22, R0–R12 и G0–G7.  5. Используйте «Реестр файлов» для всех документов, контрактов, workflows и tooling.  6. Статусы snapshot не заменяют новый запуск analyzer/tests.</x:v>
      </x:c>
      <x:c r="B28" s="252"/>
      <x:c r="C28" s="252"/>
      <x:c r="D28" s="252"/>
      <x:c r="E28" s="252"/>
      <x:c r="F28" s="252"/>
      <x:c r="G28" s="252"/>
      <x:c r="H28" s="252"/>
      <x:c r="I28" s="252"/>
      <x:c r="J28" s="252"/>
      <x:c r="K28" s="252"/>
      <x:c r="L28" s="252"/>
      <x:c r="M28" s="252"/>
      <x:c r="N28" s="252"/>
      <x:c r="O28" s="252"/>
      <x:c r="P28" s="252"/>
      <x:c r="Q28" s="252"/>
      <x:c r="R28" s="252"/>
      <x:c r="S28" s="252"/>
      <x:c r="T28" s="252"/>
      <x:c r="U28" s="252"/>
      <x:c r="V28" s="252"/>
      <x:c r="W28" s="252"/>
      <x:c r="X28" s="253"/>
    </x:row>
    <x:row r="29" ht="24" customHeight="1">
      <x:c r="A29" s="254"/>
      <x:c r="B29" s="255"/>
      <x:c r="C29" s="255"/>
      <x:c r="D29" s="255"/>
      <x:c r="E29" s="255"/>
      <x:c r="F29" s="255"/>
      <x:c r="G29" s="255"/>
      <x:c r="H29" s="255"/>
      <x:c r="I29" s="255"/>
      <x:c r="J29" s="255"/>
      <x:c r="K29" s="255"/>
      <x:c r="L29" s="255"/>
      <x:c r="M29" s="255"/>
      <x:c r="N29" s="255"/>
      <x:c r="O29" s="255"/>
      <x:c r="P29" s="255"/>
      <x:c r="Q29" s="255"/>
      <x:c r="R29" s="255"/>
      <x:c r="S29" s="255"/>
      <x:c r="T29" s="255"/>
      <x:c r="U29" s="255"/>
      <x:c r="V29" s="255"/>
      <x:c r="W29" s="255"/>
      <x:c r="X29" s="256"/>
    </x:row>
    <x:row r="30" ht="24" customHeight="1">
      <x:c r="A30" s="254"/>
      <x:c r="B30" s="255"/>
      <x:c r="C30" s="255"/>
      <x:c r="D30" s="255"/>
      <x:c r="E30" s="255"/>
      <x:c r="F30" s="255"/>
      <x:c r="G30" s="255"/>
      <x:c r="H30" s="255"/>
      <x:c r="I30" s="255"/>
      <x:c r="J30" s="255"/>
      <x:c r="K30" s="255"/>
      <x:c r="L30" s="255"/>
      <x:c r="M30" s="255"/>
      <x:c r="N30" s="255"/>
      <x:c r="O30" s="255"/>
      <x:c r="P30" s="255"/>
      <x:c r="Q30" s="255"/>
      <x:c r="R30" s="255"/>
      <x:c r="S30" s="255"/>
      <x:c r="T30" s="255"/>
      <x:c r="U30" s="255"/>
      <x:c r="V30" s="255"/>
      <x:c r="W30" s="255"/>
      <x:c r="X30" s="256"/>
    </x:row>
    <x:row r="31" ht="24" customHeight="1">
      <x:c r="A31" s="257"/>
      <x:c r="B31" s="258"/>
      <x:c r="C31" s="258"/>
      <x:c r="D31" s="258"/>
      <x:c r="E31" s="258"/>
      <x:c r="F31" s="258"/>
      <x:c r="G31" s="258"/>
      <x:c r="H31" s="258"/>
      <x:c r="I31" s="258"/>
      <x:c r="J31" s="258"/>
      <x:c r="K31" s="258"/>
      <x:c r="L31" s="258"/>
      <x:c r="M31" s="258"/>
      <x:c r="N31" s="258"/>
      <x:c r="O31" s="258"/>
      <x:c r="P31" s="258"/>
      <x:c r="Q31" s="258"/>
      <x:c r="R31" s="258"/>
      <x:c r="S31" s="258"/>
      <x:c r="T31" s="258"/>
      <x:c r="U31" s="258"/>
      <x:c r="V31" s="258"/>
      <x:c r="W31" s="258"/>
      <x:c r="X31" s="259"/>
    </x:row>
    <x:row r="32" ht="24" customHeight="1"/>
    <x:row r="33" ht="24" customHeight="1">
      <x:c r="A33" s="260" t="e">
        <x:f>HYPERLINK("#'Реестр файлов'!A1","Открыть полный реестр файлов")</x:f>
        <x:v>HYPERLINK is not implemented. linkLocation=#'Реестр файлов'!A1, friendlyName=Открыть полный реестр файлов</x:v>
      </x:c>
      <x:c r="B33" s="260"/>
      <x:c r="C33" s="260"/>
      <x:c r="D33" s="260"/>
      <x:c r="E33" s="260"/>
      <x:c r="F33" s="260"/>
      <x:c r="H33" s="261" t="e">
        <x:f>HYPERLINK("#'Backend'!A1","Открыть Backend BCK-01–22")</x:f>
        <x:v>HYPERLINK is not implemented. linkLocation=#'Backend'!A1, friendlyName=Открыть Backend BCK-01–22</x:v>
      </x:c>
      <x:c r="I33" s="261"/>
      <x:c r="J33" s="261"/>
      <x:c r="K33" s="261"/>
      <x:c r="L33" s="261"/>
      <x:c r="M33" s="369" t="e">
        <x:f>HYPERLINK("#'Этапность создания'!A1","→ Открыть этапность создания")</x:f>
        <x:v>HYPERLINK is not implemented. linkLocation=#'Этапность создания'!A1, friendlyName=→ Открыть этапность создания</x:v>
      </x:c>
      <x:c r="N33" s="371"/>
      <x:c r="O33" s="371" t="e">
        <x:f>HYPERLINK("#'Справочники'!A1","Настроить статусы и веса")</x:f>
        <x:v>HYPERLINK is not implemented. linkLocation=#'Справочники'!A1, friendlyName=Настроить статусы и веса</x:v>
      </x:c>
      <x:c r="P33" s="372"/>
      <x:c r="Q33" s="262"/>
      <x:c r="R33" s="262"/>
      <x:c r="S33" s="262"/>
      <x:c r="T33" s="262"/>
    </x:row>
    <x:row r="34" ht="24" customHeight="1">
      <x:c r="A34" s="260"/>
      <x:c r="B34" s="260"/>
      <x:c r="C34" s="260"/>
      <x:c r="D34" s="260"/>
      <x:c r="E34" s="260"/>
      <x:c r="F34" s="260"/>
      <x:c r="H34" s="261"/>
      <x:c r="I34" s="261"/>
      <x:c r="J34" s="261"/>
      <x:c r="K34" s="261"/>
      <x:c r="L34" s="261"/>
      <x:c r="M34" s="373"/>
      <x:c r="N34" s="375"/>
      <x:c r="O34" s="375"/>
      <x:c r="P34" s="376"/>
      <x:c r="Q34" s="262"/>
      <x:c r="R34" s="262"/>
      <x:c r="S34" s="262"/>
      <x:c r="T34" s="262"/>
    </x:row>
    <x:row r="35" ht="24" customHeight="1">
      <x:c r="A35" s="260"/>
      <x:c r="B35" s="260"/>
      <x:c r="C35" s="260"/>
      <x:c r="D35" s="260"/>
      <x:c r="E35" s="260"/>
      <x:c r="F35" s="260"/>
      <x:c r="H35" s="261"/>
      <x:c r="I35" s="261"/>
      <x:c r="J35" s="261"/>
      <x:c r="K35" s="261"/>
      <x:c r="L35" s="261"/>
      <x:c r="M35" s="377"/>
      <x:c r="N35" s="379"/>
      <x:c r="O35" s="379"/>
      <x:c r="P35" s="380"/>
      <x:c r="Q35" s="262"/>
      <x:c r="R35" s="262"/>
      <x:c r="S35" s="262"/>
      <x:c r="T35" s="262"/>
    </x:row>
    <x:row r="37" ht="24" customHeight="1">
      <x:c r="A37" s="266" t="str">
        <x:v>AUDIT SNAPSHOT · 2026-08-16</x:v>
      </x:c>
      <x:c r="B37" s="266"/>
      <x:c r="C37" s="266"/>
      <x:c r="D37" s="266"/>
      <x:c r="E37" s="266"/>
      <x:c r="F37" s="266"/>
      <x:c r="G37" s="266"/>
      <x:c r="H37" s="266"/>
      <x:c r="I37" s="266"/>
      <x:c r="J37" s="266"/>
      <x:c r="K37" s="266"/>
      <x:c r="L37" s="266"/>
      <x:c r="M37" s="266"/>
      <x:c r="N37" s="266"/>
      <x:c r="O37" s="266"/>
      <x:c r="P37" s="266"/>
      <x:c r="Q37" s="266"/>
      <x:c r="R37" s="266"/>
      <x:c r="S37" s="266"/>
      <x:c r="T37" s="266"/>
      <x:c r="U37" s="266"/>
      <x:c r="V37" s="266"/>
      <x:c r="W37" s="266"/>
      <x:c r="X37" s="266"/>
    </x:row>
    <x:row r="38" ht="28" customHeight="1">
      <x:c r="A38" s="287" t="str">
        <x:v>Добавлены точные slice-состояния и audit findings. Физический backend/Firebase отсутствует; BCK-01/03/04 Draft, BCK-09 Review, остальные BCK-specs planned. Открыты OD-01…11. BCK-02 всё ещё ошибочно показывает BCK-04 как Planned. LAUNCH_STATUS header устарел (2026-08-08). Текущий boundary-check и git diff --check зелёные; Flutter analyzer не дал результата и был остановлен, полный suite в этом аудите не запускался.</x:v>
      </x:c>
      <x:c r="B38" s="288"/>
      <x:c r="C38" s="288"/>
      <x:c r="D38" s="288"/>
      <x:c r="E38" s="288"/>
      <x:c r="F38" s="288"/>
      <x:c r="G38" s="288"/>
      <x:c r="H38" s="288"/>
      <x:c r="I38" s="288"/>
      <x:c r="J38" s="288"/>
      <x:c r="K38" s="288"/>
      <x:c r="L38" s="288"/>
      <x:c r="M38" s="288"/>
      <x:c r="N38" s="288"/>
      <x:c r="O38" s="288"/>
      <x:c r="P38" s="288"/>
      <x:c r="Q38" s="288"/>
      <x:c r="R38" s="288"/>
      <x:c r="S38" s="288"/>
      <x:c r="T38" s="288"/>
      <x:c r="U38" s="288"/>
      <x:c r="V38" s="288"/>
      <x:c r="W38" s="288"/>
      <x:c r="X38" s="289"/>
    </x:row>
    <x:row r="39" ht="28" customHeight="1">
      <x:c r="A39" s="290"/>
      <x:c r="B39" s="291"/>
      <x:c r="C39" s="291"/>
      <x:c r="D39" s="291"/>
      <x:c r="E39" s="291"/>
      <x:c r="F39" s="291"/>
      <x:c r="G39" s="291"/>
      <x:c r="H39" s="291"/>
      <x:c r="I39" s="291"/>
      <x:c r="J39" s="291"/>
      <x:c r="K39" s="291"/>
      <x:c r="L39" s="291"/>
      <x:c r="M39" s="291"/>
      <x:c r="N39" s="291"/>
      <x:c r="O39" s="291"/>
      <x:c r="P39" s="291"/>
      <x:c r="Q39" s="291"/>
      <x:c r="R39" s="291"/>
      <x:c r="S39" s="291"/>
      <x:c r="T39" s="291"/>
      <x:c r="U39" s="291"/>
      <x:c r="V39" s="291"/>
      <x:c r="W39" s="291"/>
      <x:c r="X39" s="292"/>
    </x:row>
    <x:row r="40" ht="28" customHeight="1">
      <x:c r="A40" s="293"/>
      <x:c r="B40" s="294"/>
      <x:c r="C40" s="294"/>
      <x:c r="D40" s="294"/>
      <x:c r="E40" s="294"/>
      <x:c r="F40" s="294"/>
      <x:c r="G40" s="294"/>
      <x:c r="H40" s="294"/>
      <x:c r="I40" s="294"/>
      <x:c r="J40" s="294"/>
      <x:c r="K40" s="294"/>
      <x:c r="L40" s="294"/>
      <x:c r="M40" s="294"/>
      <x:c r="N40" s="294"/>
      <x:c r="O40" s="294"/>
      <x:c r="P40" s="294"/>
      <x:c r="Q40" s="294"/>
      <x:c r="R40" s="294"/>
      <x:c r="S40" s="294"/>
      <x:c r="T40" s="294"/>
      <x:c r="U40" s="294"/>
      <x:c r="V40" s="294"/>
      <x:c r="W40" s="294"/>
      <x:c r="X40" s="295"/>
    </x:row>
  </x:sheetData>
  <x:mergeCells>
    <x:mergeCell ref="A1:X1"/>
    <x:mergeCell ref="A2:X2"/>
    <x:mergeCell ref="J11:O15"/>
    <x:mergeCell ref="A4:D6"/>
    <x:mergeCell ref="E4:H6"/>
    <x:mergeCell ref="I4:L6"/>
    <x:mergeCell ref="M4:P6"/>
    <x:mergeCell ref="Q4:T6"/>
    <x:mergeCell ref="U4:X6"/>
    <x:mergeCell ref="A10:F12"/>
    <x:mergeCell ref="A14:F16"/>
    <x:mergeCell ref="A18:F20"/>
    <x:mergeCell ref="S10:X12"/>
    <x:mergeCell ref="S14:X16"/>
    <x:mergeCell ref="S18:X20"/>
    <x:mergeCell ref="S22:X24"/>
    <x:mergeCell ref="G9:R9"/>
    <x:mergeCell ref="G17:R17"/>
    <x:mergeCell ref="A27:X27"/>
    <x:mergeCell ref="A28:X31"/>
    <x:mergeCell ref="A33:F35"/>
    <x:mergeCell ref="H33:M35"/>
    <x:mergeCell ref="O33:T35"/>
    <x:mergeCell ref="A37:X37"/>
    <x:mergeCell ref="A38:X40"/>
    <x:mergeCell ref="M33:P35"/>
  </x:mergeCells>
  <x:pageMargins left="0.7" right="0.7" top="0.75" bottom="0.75" header="0.3" footer="0.3"/>
  <x:drawing xmlns:r="http://schemas.openxmlformats.org/officeDocument/2006/relationships" r:id="R9e892c2f863f45a0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</x:cols>
  <x:sheetData>
    <x:row r="1" ht="38" customHeight="1">
      <x:c r="A1" s="3" t="str">
        <x:v>СПРАВОЧНИКИ И ВЕСА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2" customHeight="1">
      <x:c r="A2" s="7" t="str">
        <x:v>Все расчёты готовности опираются на редактируемые значения ниже.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>
      <x:c r="A4" s="8" t="str">
        <x:v>Артефакт</x:v>
      </x:c>
      <x:c r="B4" s="8" t="str">
        <x:v>Вес</x:v>
      </x:c>
      <x:c r="C4" s="8"/>
      <x:c r="D4" s="8" t="str">
        <x:v>Документация</x:v>
      </x:c>
      <x:c r="E4" s="8" t="str">
        <x:v>Вес</x:v>
      </x:c>
      <x:c r="F4" s="8"/>
      <x:c r="G4" s="8" t="str">
        <x:v>Runtime</x:v>
      </x:c>
      <x:c r="H4" s="8" t="str">
        <x:v>Вес</x:v>
      </x:c>
      <x:c r="I4" s="8"/>
      <x:c r="J4" s="8" t="str">
        <x:v>Проверки</x:v>
      </x:c>
      <x:c r="K4" s="8" t="str">
        <x:v>Вес</x:v>
      </x:c>
      <x:c r="L4" s="8"/>
      <x:c r="M4" s="8" t="str">
        <x:v>Приоритет</x:v>
      </x:c>
      <x:c r="N4" s="8"/>
    </x:row>
    <x:row r="5">
      <x:c r="A5" t="str">
        <x:v>Отсутствует</x:v>
      </x:c>
      <x:c r="B5" s="9" t="n">
        <x:v>0</x:v>
      </x:c>
      <x:c r="D5" t="str">
        <x:v>Отсутствует</x:v>
      </x:c>
      <x:c r="E5" s="9" t="n">
        <x:v>0</x:v>
      </x:c>
      <x:c r="G5" t="str">
        <x:v>Отсутствует</x:v>
      </x:c>
      <x:c r="H5" s="9" t="n">
        <x:v>0</x:v>
      </x:c>
      <x:c r="J5" t="str">
        <x:v>Не запускались</x:v>
      </x:c>
      <x:c r="K5" s="9" t="n">
        <x:v>0</x:v>
      </x:c>
      <x:c r="M5" t="str">
        <x:v>P0</x:v>
      </x:c>
    </x:row>
    <x:row r="6">
      <x:c r="A6" t="str">
        <x:v>План</x:v>
      </x:c>
      <x:c r="B6" s="9" t="n">
        <x:v>0.1</x:v>
      </x:c>
      <x:c r="D6" t="str">
        <x:v>Draft</x:v>
      </x:c>
      <x:c r="E6" s="9" t="n">
        <x:v>0.25</x:v>
      </x:c>
      <x:c r="G6" t="str">
        <x:v>Gated</x:v>
      </x:c>
      <x:c r="H6" s="9" t="n">
        <x:v>0.15</x:v>
      </x:c>
      <x:c r="J6" t="str">
        <x:v>Заблокированы</x:v>
      </x:c>
      <x:c r="K6" s="9" t="n">
        <x:v>0.15</x:v>
      </x:c>
      <x:c r="M6" t="str">
        <x:v>P1</x:v>
      </x:c>
    </x:row>
    <x:row r="7">
      <x:c r="A7" t="str">
        <x:v>Docs only</x:v>
      </x:c>
      <x:c r="B7" s="9" t="n">
        <x:v>0.25</x:v>
      </x:c>
      <x:c r="D7" t="str">
        <x:v>Review</x:v>
      </x:c>
      <x:c r="E7" s="9" t="n">
        <x:v>0.55</x:v>
      </x:c>
      <x:c r="G7" t="str">
        <x:v>Pure domain</x:v>
      </x:c>
      <x:c r="H7" s="9" t="n">
        <x:v>0.4</x:v>
      </x:c>
      <x:c r="J7" t="str">
        <x:v>Device pending</x:v>
      </x:c>
      <x:c r="K7" s="9" t="n">
        <x:v>0.35</x:v>
      </x:c>
      <x:c r="M7" t="str">
        <x:v>P2</x:v>
      </x:c>
    </x:row>
    <x:row r="8">
      <x:c r="A8" t="str">
        <x:v>Draft</x:v>
      </x:c>
      <x:c r="B8" s="9" t="n">
        <x:v>0.3</x:v>
      </x:c>
      <x:c r="D8" t="str">
        <x:v>Готова к утверждению</x:v>
      </x:c>
      <x:c r="E8" s="9" t="n">
        <x:v>0.75</x:v>
      </x:c>
      <x:c r="G8" t="str">
        <x:v>Local/mock</x:v>
      </x:c>
      <x:c r="H8" s="9" t="n">
        <x:v>0.55</x:v>
      </x:c>
      <x:c r="J8" t="str">
        <x:v>Частично</x:v>
      </x:c>
      <x:c r="K8" s="9" t="n">
        <x:v>0.4</x:v>
      </x:c>
      <x:c r="M8" t="str">
        <x:v>P3</x:v>
      </x:c>
    </x:row>
    <x:row r="9">
      <x:c r="A9" t="str">
        <x:v>Частично</x:v>
      </x:c>
      <x:c r="B9" s="9" t="n">
        <x:v>0.5</x:v>
      </x:c>
      <x:c r="D9" t="str">
        <x:v>Approved</x:v>
      </x:c>
      <x:c r="E9" s="9" t="n">
        <x:v>0.9</x:v>
      </x:c>
      <x:c r="G9" t="str">
        <x:v>Emulator</x:v>
      </x:c>
      <x:c r="H9" s="9" t="n">
        <x:v>0.65</x:v>
      </x:c>
      <x:c r="J9" t="str">
        <x:v>Targeted green</x:v>
      </x:c>
      <x:c r="K9" s="9" t="n">
        <x:v>0.6</x:v>
      </x:c>
      <x:c r="M9" t="str">
        <x:v>Backlog</x:v>
      </x:c>
    </x:row>
    <x:row r="10">
      <x:c r="A10" t="str">
        <x:v>В работе</x:v>
      </x:c>
      <x:c r="B10" s="9" t="n">
        <x:v>0.55</x:v>
      </x:c>
      <x:c r="D10" t="str">
        <x:v>Accepted</x:v>
      </x:c>
      <x:c r="E10" s="9" t="n">
        <x:v>1</x:v>
      </x:c>
      <x:c r="G10" t="str">
        <x:v>Staging</x:v>
      </x:c>
      <x:c r="H10" s="9" t="n">
        <x:v>0.8</x:v>
      </x:c>
      <x:c r="J10" t="str">
        <x:v>Исторические зелёные</x:v>
      </x:c>
      <x:c r="K10" s="9" t="n">
        <x:v>0.7</x:v>
      </x:c>
    </x:row>
    <x:row r="11">
      <x:c r="A11" t="str">
        <x:v>Review</x:v>
      </x:c>
      <x:c r="B11" s="9" t="n">
        <x:v>0.7</x:v>
      </x:c>
      <x:c r="D11" t="str">
        <x:v>Canonical</x:v>
      </x:c>
      <x:c r="E11" s="9" t="n">
        <x:v>1</x:v>
      </x:c>
      <x:c r="G11" t="str">
        <x:v>Production</x:v>
      </x:c>
      <x:c r="H11" s="9" t="n">
        <x:v>1</x:v>
      </x:c>
      <x:c r="J11" t="str">
        <x:v>Текущие зелёные</x:v>
      </x:c>
      <x:c r="K11" s="9" t="n">
        <x:v>1</x:v>
      </x:c>
    </x:row>
    <x:row r="12">
      <x:c r="A12" t="str">
        <x:v>Готово local/mock</x:v>
      </x:c>
      <x:c r="B12" s="9" t="n">
        <x:v>0.8</x:v>
      </x:c>
      <x:c r="D12" t="str">
        <x:v>Не требуется</x:v>
      </x:c>
      <x:c r="E12" s="9" t="n">
        <x:v>1</x:v>
      </x:c>
      <x:c r="G12" t="str">
        <x:v>Не требуется</x:v>
      </x:c>
      <x:c r="H12" s="9" t="n">
        <x:v>1</x:v>
      </x:c>
      <x:c r="J12" t="str">
        <x:v>Не требуется</x:v>
      </x:c>
      <x:c r="K12" s="9" t="n">
        <x:v>1</x:v>
      </x:c>
    </x:row>
    <x:row r="13">
      <x:c r="A13" t="str">
        <x:v>Готово</x:v>
      </x:c>
      <x:c r="B13" s="9" t="n">
        <x:v>1</x:v>
      </x:c>
    </x:row>
    <x:row r="14">
      <x:c r="A14" t="str">
        <x:v>Заблокировано</x:v>
      </x:c>
      <x:c r="B14" s="9" t="n">
        <x:v>0.15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1" hidden="0" customWidth="1"/>
    <x:col min="3" max="3" width="20" hidden="0" customWidth="1"/>
    <x:col min="4" max="4" width="18" hidden="0" customWidth="1"/>
    <x:col min="5" max="5" width="20" hidden="0" customWidth="1"/>
    <x:col min="6" max="6" width="16" hidden="0" customWidth="1"/>
    <x:col min="7" max="7" width="20" hidden="0" customWidth="1"/>
    <x:col min="8" max="8" width="25" hidden="0" customWidth="1"/>
    <x:col min="9" max="9" width="11" hidden="0" customWidth="1"/>
    <x:col min="10" max="10" width="40" hidden="0" customWidth="1"/>
    <x:col min="11" max="11" width="28" hidden="0" customWidth="1"/>
    <x:col min="12" max="12" width="20" hidden="0" customWidth="1"/>
    <x:col min="13" max="13" width="48" hidden="0" customWidth="1"/>
    <x:col min="14" max="14" width="14" hidden="0" customWidth="1"/>
    <x:col min="15" max="15" width="13" hidden="0" customWidth="1"/>
    <x:col min="16" max="16" width="34" hidden="0" customWidth="1"/>
  </x:cols>
  <x:sheetData>
    <x:row r="1" ht="38" customHeight="1">
      <x:c r="A1" s="3" t="str">
        <x:v>PRODUCT CATEGORIES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2" customHeight="1">
      <x:c r="A2" s="7" t="str">
        <x:v>Product layer · Consumer discovery, personal libraries and planning products.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3">
      <x:c r="A3" s="12" t="e">
        <x:f>HYPERLINK("#'Паук'!A1","← Вернуться к пауку")</x:f>
        <x:v>HYPERLINK is not implemented. linkLocation=#'Паук'!A1, friendlyName=← Вернуться к пауку</x:v>
      </x:c>
      <x:c r="B3" s="12"/>
      <x:c r="C3" t="str">
        <x:v>Прогресс</x:v>
      </x:c>
      <x:c r="E3" s="15" t="n">
        <x:f>IFERROR(SUM(O6:O75)/COUNTA(B6:B75),0)</x:f>
        <x:v>0.5660000000000001</x:v>
      </x:c>
      <x:c r="F3" s="15"/>
      <x:c r="G3" t="str">
        <x:v>Открытые P0/P1</x:v>
      </x:c>
      <x:c r="I3" s="18" t="n">
        <x:f>COUNTIFS(I6:I75,"P0",O6:O75,"&lt;1")+COUNTIFS(I6:I75,"P1",O6:O75,"&lt;1")</x:f>
        <x:v>18</x:v>
      </x:c>
      <x:c r="J3" s="18"/>
      <x:c r="K3" t="str">
        <x:v>Runtime отсутствует</x:v>
      </x:c>
      <x:c r="M3" s="21" t="n">
        <x:f>COUNTIF(F6:F75,"Отсутствует")</x:f>
        <x:v>7</x:v>
      </x:c>
      <x:c r="N3" s="21"/>
      <x:c r="O3" s="24" t="e">
        <x:f>HYPERLINK("#'Реестр файлов'!A1","Реестр файлов →")</x:f>
        <x:v>HYPERLINK is not implemented. linkLocation=#'Реестр файлов'!A1, friendlyName=Реестр файлов →</x:v>
      </x:c>
      <x:c r="P3" s="24"/>
    </x:row>
    <x:row r="5">
      <x:c r="A5" s="27" t="str">
        <x:v>ID</x:v>
      </x:c>
      <x:c r="B5" s="27" t="str">
        <x:v>Подсистема / deliverable</x:v>
      </x:c>
      <x:c r="C5" s="27" t="str">
        <x:v>Тип</x:v>
      </x:c>
      <x:c r="D5" s="27" t="str">
        <x:v>Артефакт</x:v>
      </x:c>
      <x:c r="E5" s="27" t="str">
        <x:v>Документация</x:v>
      </x:c>
      <x:c r="F5" s="27" t="str">
        <x:v>Runtime</x:v>
      </x:c>
      <x:c r="G5" s="27" t="str">
        <x:v>Проверки</x:v>
      </x:c>
      <x:c r="H5" s="27" t="str">
        <x:v>Gate / authority</x:v>
      </x:c>
      <x:c r="I5" s="27" t="str">
        <x:v>Приоритет</x:v>
      </x:c>
      <x:c r="J5" s="27" t="str">
        <x:v>Следующее действие</x:v>
      </x:c>
      <x:c r="K5" s="27" t="str">
        <x:v>Блокер</x:v>
      </x:c>
      <x:c r="L5" s="27" t="str">
        <x:v>Owner</x:v>
      </x:c>
      <x:c r="M5" s="27" t="str">
        <x:v>Источник / путь</x:v>
      </x:c>
      <x:c r="N5" s="27" t="str">
        <x:v>Обновлено</x:v>
      </x:c>
      <x:c r="O5" s="27" t="str">
        <x:v>Готовность</x:v>
      </x:c>
      <x:c r="P5" s="27" t="str">
        <x:v>Комментарий</x:v>
      </x:c>
    </x:row>
    <x:row r="6" ht="44" customHeight="1">
      <x:c r="A6" s="38" t="str">
        <x:v>PROD-01</x:v>
      </x:c>
      <x:c r="B6" s="35" t="str">
        <x:v>Home / Feed</x:v>
      </x:c>
      <x:c r="C6" s="35" t="str">
        <x:v>Consumer surface</x:v>
      </x:c>
      <x:c r="D6" s="41" t="str">
        <x:v>Готово local/mock</x:v>
      </x:c>
      <x:c r="E6" s="41" t="str">
        <x:v>Approved</x:v>
      </x:c>
      <x:c r="F6" s="41" t="str">
        <x:v>Local/mock</x:v>
      </x:c>
      <x:c r="G6" s="41" t="str">
        <x:v>Исторические зелёные</x:v>
      </x:c>
      <x:c r="H6" s="41" t="str">
        <x:v>Remote catalog gated</x:v>
      </x:c>
      <x:c r="I6" s="41" t="str">
        <x:v>P1</x:v>
      </x:c>
      <x:c r="J6" s="35" t="str">
        <x:v>Production datasource after R3</x:v>
      </x:c>
      <x:c r="K6" s="35" t="str">
        <x:v>Backend absent</x:v>
      </x:c>
      <x:c r="L6" s="35" t="str">
        <x:v>Discover</x:v>
      </x:c>
      <x:c r="M6" s="35" t="str">
        <x:v>docs/product/VISION.md</x:v>
      </x:c>
      <x:c r="N6" s="44" t="n">
        <x:v>46250</x:v>
      </x:c>
      <x:c r="O6" s="47" t="n">
        <x:f>IF(B6="","",AVERAGE(IFERROR(VLOOKUP(D6,'Справочники'!$A$5:$B$14,2,FALSE),0),IFERROR(VLOOKUP(E6,'Справочники'!$D$5:$E$12,2,FALSE),0),IFERROR(VLOOKUP(F6,'Справочники'!$G$5:$H$12,2,FALSE),0),IFERROR(VLOOKUP(G6,'Справочники'!$J$5:$K$12,2,FALSE),0)))</x:f>
        <x:v>0.7375</x:v>
      </x:c>
      <x:c r="P6" s="35" t="str"/>
    </x:row>
    <x:row r="7" ht="44" customHeight="1">
      <x:c r="A7" s="39" t="str">
        <x:v>PROD-02</x:v>
      </x:c>
      <x:c r="B7" s="36" t="str">
        <x:v>Search / Filters / time-fit</x:v>
      </x:c>
      <x:c r="C7" s="36" t="str">
        <x:v>Consumer surface</x:v>
      </x:c>
      <x:c r="D7" s="42" t="str">
        <x:v>Готово local/mock</x:v>
      </x:c>
      <x:c r="E7" s="42" t="str">
        <x:v>Accepted</x:v>
      </x:c>
      <x:c r="F7" s="42" t="str">
        <x:v>Local/mock</x:v>
      </x:c>
      <x:c r="G7" s="42" t="str">
        <x:v>Исторические зелёные</x:v>
      </x:c>
      <x:c r="H7" s="42" t="str">
        <x:v>Search backend OD-01</x:v>
      </x:c>
      <x:c r="I7" s="42" t="str">
        <x:v>P1</x:v>
      </x:c>
      <x:c r="J7" s="36" t="str">
        <x:v>Preserve query contract; add remote adapter</x:v>
      </x:c>
      <x:c r="K7" s="36" t="str">
        <x:v>BCK-08</x:v>
      </x:c>
      <x:c r="L7" s="36" t="str">
        <x:v>Discover</x:v>
      </x:c>
      <x:c r="M7" s="36" t="str">
        <x:v>docs/product/SEARCH_FILTERS_TIME_SPEC.md</x:v>
      </x:c>
      <x:c r="N7" s="45" t="n">
        <x:v>46250</x:v>
      </x:c>
      <x:c r="O7" s="48" t="n">
        <x:f>IF(B7="","",AVERAGE(IFERROR(VLOOKUP(D7,'Справочники'!$A$5:$B$14,2,FALSE),0),IFERROR(VLOOKUP(E7,'Справочники'!$D$5:$E$12,2,FALSE),0),IFERROR(VLOOKUP(F7,'Справочники'!$G$5:$H$12,2,FALSE),0),IFERROR(VLOOKUP(G7,'Справочники'!$J$5:$K$12,2,FALSE),0)))</x:f>
        <x:v>0.7625</x:v>
      </x:c>
      <x:c r="P7" s="36" t="str"/>
    </x:row>
    <x:row r="8" ht="44" customHeight="1">
      <x:c r="A8" s="39" t="str">
        <x:v>PROD-03</x:v>
      </x:c>
      <x:c r="B8" s="36" t="str">
        <x:v>Map</x:v>
      </x:c>
      <x:c r="C8" s="36" t="str">
        <x:v>Consumer surface</x:v>
      </x:c>
      <x:c r="D8" s="42" t="str">
        <x:v>Готово local/mock</x:v>
      </x:c>
      <x:c r="E8" s="42" t="str">
        <x:v>Approved</x:v>
      </x:c>
      <x:c r="F8" s="42" t="str">
        <x:v>Local/mock</x:v>
      </x:c>
      <x:c r="G8" s="42" t="str">
        <x:v>Исторические зелёные</x:v>
      </x:c>
      <x:c r="H8" s="42" t="str">
        <x:v>Geo provider gated</x:v>
      </x:c>
      <x:c r="I8" s="42" t="str">
        <x:v>P1</x:v>
      </x:c>
      <x:c r="J8" s="36" t="str">
        <x:v>Real location/routing provider slices</x:v>
      </x:c>
      <x:c r="K8" s="36" t="str">
        <x:v>OD-01/provider</x:v>
      </x:c>
      <x:c r="L8" s="36" t="str">
        <x:v>Discover</x:v>
      </x:c>
      <x:c r="M8" s="36" t="str">
        <x:v>docs/product/VISION.md</x:v>
      </x:c>
      <x:c r="N8" s="45" t="n">
        <x:v>46250</x:v>
      </x:c>
      <x:c r="O8" s="48" t="n">
        <x:f>IF(B8="","",AVERAGE(IFERROR(VLOOKUP(D8,'Справочники'!$A$5:$B$14,2,FALSE),0),IFERROR(VLOOKUP(E8,'Справочники'!$D$5:$E$12,2,FALSE),0),IFERROR(VLOOKUP(F8,'Справочники'!$G$5:$H$12,2,FALSE),0),IFERROR(VLOOKUP(G8,'Справочники'!$J$5:$K$12,2,FALSE),0)))</x:f>
        <x:v>0.7375</x:v>
      </x:c>
      <x:c r="P8" s="36" t="str"/>
    </x:row>
    <x:row r="9" ht="44" customHeight="1">
      <x:c r="A9" s="39" t="str">
        <x:v>PROD-04</x:v>
      </x:c>
      <x:c r="B9" s="36" t="str">
        <x:v>Details</x:v>
      </x:c>
      <x:c r="C9" s="36" t="str">
        <x:v>Consumer surface</x:v>
      </x:c>
      <x:c r="D9" s="42" t="str">
        <x:v>Готово local/mock</x:v>
      </x:c>
      <x:c r="E9" s="42" t="str">
        <x:v>Approved</x:v>
      </x:c>
      <x:c r="F9" s="42" t="str">
        <x:v>Local/mock</x:v>
      </x:c>
      <x:c r="G9" s="42" t="str">
        <x:v>Исторические зелёные</x:v>
      </x:c>
      <x:c r="H9" s="42" t="str">
        <x:v>Production projection gated</x:v>
      </x:c>
      <x:c r="I9" s="42" t="str">
        <x:v>P1</x:v>
      </x:c>
      <x:c r="J9" s="36" t="str">
        <x:v>Authoritative content/availability projections</x:v>
      </x:c>
      <x:c r="K9" s="36" t="str">
        <x:v>BCK-07/08/09</x:v>
      </x:c>
      <x:c r="L9" s="36" t="str">
        <x:v>Discover</x:v>
      </x:c>
      <x:c r="M9" s="36" t="str">
        <x:v>docs/product/VISION.md</x:v>
      </x:c>
      <x:c r="N9" s="45" t="n">
        <x:v>46250</x:v>
      </x:c>
      <x:c r="O9" s="48" t="n">
        <x:f>IF(B9="","",AVERAGE(IFERROR(VLOOKUP(D9,'Справочники'!$A$5:$B$14,2,FALSE),0),IFERROR(VLOOKUP(E9,'Справочники'!$D$5:$E$12,2,FALSE),0),IFERROR(VLOOKUP(F9,'Справочники'!$G$5:$H$12,2,FALSE),0),IFERROR(VLOOKUP(G9,'Справочники'!$J$5:$K$12,2,FALSE),0)))</x:f>
        <x:v>0.7375</x:v>
      </x:c>
      <x:c r="P9" s="36" t="str"/>
    </x:row>
    <x:row r="10" ht="44" customHeight="1">
      <x:c r="A10" s="39" t="str">
        <x:v>PROD-05</x:v>
      </x:c>
      <x:c r="B10" s="36" t="str">
        <x:v>Smart Search</x:v>
      </x:c>
      <x:c r="C10" s="36" t="str">
        <x:v>Consumer capability</x:v>
      </x:c>
      <x:c r="D10" s="42" t="str">
        <x:v>Готово local/mock</x:v>
      </x:c>
      <x:c r="E10" s="42" t="str">
        <x:v>Approved</x:v>
      </x:c>
      <x:c r="F10" s="42" t="str">
        <x:v>Local/mock</x:v>
      </x:c>
      <x:c r="G10" s="42" t="str">
        <x:v>Исторические зелёные</x:v>
      </x:c>
      <x:c r="H10" s="42" t="str">
        <x:v>Rule-based only</x:v>
      </x:c>
      <x:c r="I10" s="42" t="str">
        <x:v>P2</x:v>
      </x:c>
      <x:c r="J10" s="36" t="str">
        <x:v>Keep separate from production AI</x:v>
      </x:c>
      <x:c r="K10" s="36" t="str">
        <x:v>AI provider gated</x:v>
      </x:c>
      <x:c r="L10" s="36" t="str">
        <x:v>Discover/AI</x:v>
      </x:c>
      <x:c r="M10" s="36" t="str">
        <x:v>docs/product/AI_PRODUCT_STRATEGY.md</x:v>
      </x:c>
      <x:c r="N10" s="45" t="n">
        <x:v>46250</x:v>
      </x:c>
      <x:c r="O10" s="48" t="n">
        <x:f>IF(B10="","",AVERAGE(IFERROR(VLOOKUP(D10,'Справочники'!$A$5:$B$14,2,FALSE),0),IFERROR(VLOOKUP(E10,'Справочники'!$D$5:$E$12,2,FALSE),0),IFERROR(VLOOKUP(F10,'Справочники'!$G$5:$H$12,2,FALSE),0),IFERROR(VLOOKUP(G10,'Справочники'!$J$5:$K$12,2,FALSE),0)))</x:f>
        <x:v>0.7375</x:v>
      </x:c>
      <x:c r="P10" s="36" t="str"/>
    </x:row>
    <x:row r="11" ht="44" customHeight="1">
      <x:c r="A11" s="39" t="str">
        <x:v>PROD-06</x:v>
      </x:c>
      <x:c r="B11" s="36" t="str">
        <x:v>Category System v1.4.3</x:v>
      </x:c>
      <x:c r="C11" s="36" t="str">
        <x:v>Reference data</x:v>
      </x:c>
      <x:c r="D11" s="42" t="str">
        <x:v>Готово</x:v>
      </x:c>
      <x:c r="E11" s="42" t="str">
        <x:v>Accepted</x:v>
      </x:c>
      <x:c r="F11" s="42" t="str">
        <x:v>Local/mock</x:v>
      </x:c>
      <x:c r="G11" s="42" t="str">
        <x:v>Исторические зелёные</x:v>
      </x:c>
      <x:c r="H11" s="42" t="str">
        <x:v>BCK-20 future</x:v>
      </x:c>
      <x:c r="I11" s="42" t="str">
        <x:v>P0</x:v>
      </x:c>
      <x:c r="J11" s="36" t="str">
        <x:v>Maintain 28/530 and legacy map</x:v>
      </x:c>
      <x:c r="K11" s="36" t="str">
        <x:v>Remote distribution absent</x:v>
      </x:c>
      <x:c r="L11" s="36" t="str">
        <x:v>Reference Data</x:v>
      </x:c>
      <x:c r="M11" s="36" t="str">
        <x:v>docs/product/CATEGORY_SYSTEM.md</x:v>
      </x:c>
      <x:c r="N11" s="45" t="n">
        <x:v>46250</x:v>
      </x:c>
      <x:c r="O11" s="48" t="n">
        <x:f>IF(B11="","",AVERAGE(IFERROR(VLOOKUP(D11,'Справочники'!$A$5:$B$14,2,FALSE),0),IFERROR(VLOOKUP(E11,'Справочники'!$D$5:$E$12,2,FALSE),0),IFERROR(VLOOKUP(F11,'Справочники'!$G$5:$H$12,2,FALSE),0),IFERROR(VLOOKUP(G11,'Справочники'!$J$5:$K$12,2,FALSE),0)))</x:f>
        <x:v>0.8125</x:v>
      </x:c>
      <x:c r="P11" s="36" t="str"/>
    </x:row>
    <x:row r="12" ht="44" customHeight="1">
      <x:c r="A12" s="39" t="str">
        <x:v>PROD-07</x:v>
      </x:c>
      <x:c r="B12" s="36" t="str">
        <x:v>Favorites</x:v>
      </x:c>
      <x:c r="C12" s="36" t="str">
        <x:v>Personal library</x:v>
      </x:c>
      <x:c r="D12" s="42" t="str">
        <x:v>Готово local/mock</x:v>
      </x:c>
      <x:c r="E12" s="42" t="str">
        <x:v>Approved</x:v>
      </x:c>
      <x:c r="F12" s="42" t="str">
        <x:v>Local/mock</x:v>
      </x:c>
      <x:c r="G12" s="42" t="str">
        <x:v>Исторические зелёные</x:v>
      </x:c>
      <x:c r="H12" s="42" t="str">
        <x:v>Remote sync gated</x:v>
      </x:c>
      <x:c r="I12" s="42" t="str">
        <x:v>P2</x:v>
      </x:c>
      <x:c r="J12" s="36" t="str">
        <x:v>Owner-scoped BCK-12</x:v>
      </x:c>
      <x:c r="K12" s="36" t="str">
        <x:v>Backend absent</x:v>
      </x:c>
      <x:c r="L12" s="36" t="str">
        <x:v>User Platform</x:v>
      </x:c>
      <x:c r="M12" s="36" t="str">
        <x:v>docs/architecture/LAUNCH_STATUS.md</x:v>
      </x:c>
      <x:c r="N12" s="45" t="n">
        <x:v>46250</x:v>
      </x:c>
      <x:c r="O12" s="48" t="n">
        <x:f>IF(B12="","",AVERAGE(IFERROR(VLOOKUP(D12,'Справочники'!$A$5:$B$14,2,FALSE),0),IFERROR(VLOOKUP(E12,'Справочники'!$D$5:$E$12,2,FALSE),0),IFERROR(VLOOKUP(F12,'Справочники'!$G$5:$H$12,2,FALSE),0),IFERROR(VLOOKUP(G12,'Справочники'!$J$5:$K$12,2,FALSE),0)))</x:f>
        <x:v>0.7375</x:v>
      </x:c>
      <x:c r="P12" s="36" t="str"/>
    </x:row>
    <x:row r="13" ht="44" customHeight="1">
      <x:c r="A13" s="39" t="str">
        <x:v>PROD-08</x:v>
      </x:c>
      <x:c r="B13" s="36" t="str">
        <x:v>Notifications</x:v>
      </x:c>
      <x:c r="C13" s="36" t="str">
        <x:v>Personal library</x:v>
      </x:c>
      <x:c r="D13" s="42" t="str">
        <x:v>Готово local/mock</x:v>
      </x:c>
      <x:c r="E13" s="42" t="str">
        <x:v>Approved</x:v>
      </x:c>
      <x:c r="F13" s="42" t="str">
        <x:v>Local/mock</x:v>
      </x:c>
      <x:c r="G13" s="42" t="str">
        <x:v>Исторические зелёные</x:v>
      </x:c>
      <x:c r="H13" s="42" t="str">
        <x:v>BCK-13</x:v>
      </x:c>
      <x:c r="I13" s="42" t="str">
        <x:v>P1</x:v>
      </x:c>
      <x:c r="J13" s="36" t="str">
        <x:v>Authoritative inbox/outbox/push</x:v>
      </x:c>
      <x:c r="K13" s="36" t="str">
        <x:v>Backend absent</x:v>
      </x:c>
      <x:c r="L13" s="36" t="str">
        <x:v>Notifications</x:v>
      </x:c>
      <x:c r="M13" s="36" t="str">
        <x:v>docs/product/S3_NOTIF_01_NOTIFICATIONS_SPEC.md</x:v>
      </x:c>
      <x:c r="N13" s="45" t="n">
        <x:v>46250</x:v>
      </x:c>
      <x:c r="O13" s="48" t="n">
        <x:f>IF(B13="","",AVERAGE(IFERROR(VLOOKUP(D13,'Справочники'!$A$5:$B$14,2,FALSE),0),IFERROR(VLOOKUP(E13,'Справочники'!$D$5:$E$12,2,FALSE),0),IFERROR(VLOOKUP(F13,'Справочники'!$G$5:$H$12,2,FALSE),0),IFERROR(VLOOKUP(G13,'Справочники'!$J$5:$K$12,2,FALSE),0)))</x:f>
        <x:v>0.7375</x:v>
      </x:c>
      <x:c r="P13" s="36" t="str"/>
    </x:row>
    <x:row r="14" ht="44" customHeight="1">
      <x:c r="A14" s="39" t="str">
        <x:v>PROD-09</x:v>
      </x:c>
      <x:c r="B14" s="36" t="str">
        <x:v>Visit History</x:v>
      </x:c>
      <x:c r="C14" s="36" t="str">
        <x:v>Personal library</x:v>
      </x:c>
      <x:c r="D14" s="42" t="str">
        <x:v>Готово local/mock</x:v>
      </x:c>
      <x:c r="E14" s="42" t="str">
        <x:v>Approved</x:v>
      </x:c>
      <x:c r="F14" s="42" t="str">
        <x:v>Local/mock</x:v>
      </x:c>
      <x:c r="G14" s="42" t="str">
        <x:v>Исторические зелёные</x:v>
      </x:c>
      <x:c r="H14" s="42" t="str">
        <x:v>Self-report only</x:v>
      </x:c>
      <x:c r="I14" s="42" t="str">
        <x:v>P2</x:v>
      </x:c>
      <x:c r="J14" s="36" t="str">
        <x:v>Remote persistence without inference</x:v>
      </x:c>
      <x:c r="K14" s="36" t="str">
        <x:v>BCK-12</x:v>
      </x:c>
      <x:c r="L14" s="36" t="str">
        <x:v>User Platform</x:v>
      </x:c>
      <x:c r="M14" s="36" t="str">
        <x:v>docs/product/VISIT_HISTORY_SLICE_SPEC.md</x:v>
      </x:c>
      <x:c r="N14" s="45" t="n">
        <x:v>46250</x:v>
      </x:c>
      <x:c r="O14" s="48" t="n">
        <x:f>IF(B14="","",AVERAGE(IFERROR(VLOOKUP(D14,'Справочники'!$A$5:$B$14,2,FALSE),0),IFERROR(VLOOKUP(E14,'Справочники'!$D$5:$E$12,2,FALSE),0),IFERROR(VLOOKUP(F14,'Справочники'!$G$5:$H$12,2,FALSE),0),IFERROR(VLOOKUP(G14,'Справочники'!$J$5:$K$12,2,FALSE),0)))</x:f>
        <x:v>0.7375</x:v>
      </x:c>
      <x:c r="P14" s="36" t="str"/>
    </x:row>
    <x:row r="15" ht="44" customHeight="1">
      <x:c r="A15" s="39" t="str">
        <x:v>PROD-10</x:v>
      </x:c>
      <x:c r="B15" s="36" t="str">
        <x:v>Reviews / Ratings</x:v>
      </x:c>
      <x:c r="C15" s="36" t="str">
        <x:v>UGC product</x:v>
      </x:c>
      <x:c r="D15" s="42" t="str">
        <x:v>Отсутствует</x:v>
      </x:c>
      <x:c r="E15" s="42" t="str">
        <x:v>Отсутствует</x:v>
      </x:c>
      <x:c r="F15" s="42" t="str">
        <x:v>Отсутствует</x:v>
      </x:c>
      <x:c r="G15" s="42" t="str">
        <x:v>Не запускались</x:v>
      </x:c>
      <x:c r="H15" s="42" t="str">
        <x:v>BCK-12/22</x:v>
      </x:c>
      <x:c r="I15" s="42" t="str">
        <x:v>P0</x:v>
      </x:c>
      <x:c r="J15" s="36" t="str">
        <x:v>Canonical product + moderation spec</x:v>
      </x:c>
      <x:c r="K15" s="36" t="str">
        <x:v>No spec/runtime</x:v>
      </x:c>
      <x:c r="L15" s="36" t="str">
        <x:v>Product/Trust</x:v>
      </x:c>
      <x:c r="M15" s="36" t="str">
        <x:v>docs/product/VISION.md</x:v>
      </x:c>
      <x:c r="N15" s="45"/>
      <x:c r="O15" s="48" t="n">
        <x:f>IF(B15="","",AVERAGE(IFERROR(VLOOKUP(D15,'Справочники'!$A$5:$B$14,2,FALSE),0),IFERROR(VLOOKUP(E15,'Справочники'!$D$5:$E$12,2,FALSE),0),IFERROR(VLOOKUP(F15,'Справочники'!$G$5:$H$12,2,FALSE),0),IFERROR(VLOOKUP(G15,'Справочники'!$J$5:$K$12,2,FALSE),0)))</x:f>
        <x:v>0</x:v>
      </x:c>
      <x:c r="P15" s="36" t="str"/>
    </x:row>
    <x:row r="16" ht="44" customHeight="1">
      <x:c r="A16" s="39" t="str">
        <x:v>PROD-11</x:v>
      </x:c>
      <x:c r="B16" s="36" t="str">
        <x:v>Find People discovery/participation</x:v>
      </x:c>
      <x:c r="C16" s="36" t="str">
        <x:v>Social product</x:v>
      </x:c>
      <x:c r="D16" s="42" t="str">
        <x:v>Частично</x:v>
      </x:c>
      <x:c r="E16" s="42" t="str">
        <x:v>Approved</x:v>
      </x:c>
      <x:c r="F16" s="42" t="str">
        <x:v>Local/mock</x:v>
      </x:c>
      <x:c r="G16" s="42" t="str">
        <x:v>Частично</x:v>
      </x:c>
      <x:c r="H16" s="42" t="str">
        <x:v>Post-stabilization</x:v>
      </x:c>
      <x:c r="I16" s="42" t="str">
        <x:v>P1</x:v>
      </x:c>
      <x:c r="J16" s="36" t="str">
        <x:v>DiscoverQuery, Join/Waitlist, Report/Block, chat</x:v>
      </x:c>
      <x:c r="K16" s="36" t="str">
        <x:v>BCK-08/12/22</x:v>
      </x:c>
      <x:c r="L16" s="36" t="str">
        <x:v>Find People</x:v>
      </x:c>
      <x:c r="M16" s="36" t="str">
        <x:v>docs/product/FIND_PEOPLE_CREATE_BLOCK_SPEC.md</x:v>
      </x:c>
      <x:c r="N16" s="45" t="n">
        <x:v>46250</x:v>
      </x:c>
      <x:c r="O16" s="48" t="n">
        <x:f>IF(B16="","",AVERAGE(IFERROR(VLOOKUP(D16,'Справочники'!$A$5:$B$14,2,FALSE),0),IFERROR(VLOOKUP(E16,'Справочники'!$D$5:$E$12,2,FALSE),0),IFERROR(VLOOKUP(F16,'Справочники'!$G$5:$H$12,2,FALSE),0),IFERROR(VLOOKUP(G16,'Справочники'!$J$5:$K$12,2,FALSE),0)))</x:f>
        <x:v>0.5875</x:v>
      </x:c>
      <x:c r="P16" s="36" t="str"/>
    </x:row>
    <x:row r="17" ht="44" customHeight="1">
      <x:c r="A17" s="39" t="str">
        <x:v>PROD-12</x:v>
      </x:c>
      <x:c r="B17" s="36" t="str">
        <x:v>Route discovery/quality</x:v>
      </x:c>
      <x:c r="C17" s="36" t="str">
        <x:v>Route product</x:v>
      </x:c>
      <x:c r="D17" s="42" t="str">
        <x:v>Review</x:v>
      </x:c>
      <x:c r="E17" s="42" t="str">
        <x:v>Approved</x:v>
      </x:c>
      <x:c r="F17" s="42" t="str">
        <x:v>Local/mock</x:v>
      </x:c>
      <x:c r="G17" s="42" t="str">
        <x:v>Device pending</x:v>
      </x:c>
      <x:c r="H17" s="42" t="str">
        <x:v>RTE-08–11</x:v>
      </x:c>
      <x:c r="I17" s="42" t="str">
        <x:v>P0</x:v>
      </x:c>
      <x:c r="J17" s="36" t="str">
        <x:v>Close device/general gates</x:v>
      </x:c>
      <x:c r="K17" s="36" t="str">
        <x:v>Real devices</x:v>
      </x:c>
      <x:c r="L17" s="36" t="str">
        <x:v>Route</x:v>
      </x:c>
      <x:c r="M17" s="36" t="str">
        <x:v>docs/product/ROUTE_IMPLEMENTATION_ROADMAP.md</x:v>
      </x:c>
      <x:c r="N17" s="45" t="n">
        <x:v>46250</x:v>
      </x:c>
      <x:c r="O17" s="48" t="n">
        <x:f>IF(B17="","",AVERAGE(IFERROR(VLOOKUP(D17,'Справочники'!$A$5:$B$14,2,FALSE),0),IFERROR(VLOOKUP(E17,'Справочники'!$D$5:$E$12,2,FALSE),0),IFERROR(VLOOKUP(F17,'Справочники'!$G$5:$H$12,2,FALSE),0),IFERROR(VLOOKUP(G17,'Справочники'!$J$5:$K$12,2,FALSE),0)))</x:f>
        <x:v>0.6250000000000001</x:v>
      </x:c>
      <x:c r="P17" s="36" t="str"/>
    </x:row>
    <x:row r="18" ht="44" customHeight="1">
      <x:c r="A18" s="39" t="str">
        <x:v>PROD-13</x:v>
      </x:c>
      <x:c r="B18" s="36" t="str">
        <x:v>Scenario personal planning</x:v>
      </x:c>
      <x:c r="C18" s="36" t="str">
        <x:v>Planning product</x:v>
      </x:c>
      <x:c r="D18" s="42" t="str">
        <x:v>Готово local/mock</x:v>
      </x:c>
      <x:c r="E18" s="42" t="str">
        <x:v>Accepted</x:v>
      </x:c>
      <x:c r="F18" s="42" t="str">
        <x:v>Local/mock</x:v>
      </x:c>
      <x:c r="G18" s="42" t="str">
        <x:v>Исторические зелёные</x:v>
      </x:c>
      <x:c r="H18" s="42" t="str">
        <x:v>Public distribution gated</x:v>
      </x:c>
      <x:c r="I18" s="42" t="str">
        <x:v>P0</x:v>
      </x:c>
      <x:c r="J18" s="36" t="str">
        <x:v>Publication/collaboration separately</x:v>
      </x:c>
      <x:c r="K18" s="36" t="str">
        <x:v>Identity/moderation</x:v>
      </x:c>
      <x:c r="L18" s="36" t="str">
        <x:v>Scenario</x:v>
      </x:c>
      <x:c r="M18" s="36" t="str">
        <x:v>docs/product/SCENARIO_BUILDER_SPEC.md</x:v>
      </x:c>
      <x:c r="N18" s="45" t="n">
        <x:v>46250</x:v>
      </x:c>
      <x:c r="O18" s="48" t="n">
        <x:f>IF(B18="","",AVERAGE(IFERROR(VLOOKUP(D18,'Справочники'!$A$5:$B$14,2,FALSE),0),IFERROR(VLOOKUP(E18,'Справочники'!$D$5:$E$12,2,FALSE),0),IFERROR(VLOOKUP(F18,'Справочники'!$G$5:$H$12,2,FALSE),0),IFERROR(VLOOKUP(G18,'Справочники'!$J$5:$K$12,2,FALSE),0)))</x:f>
        <x:v>0.7625</x:v>
      </x:c>
      <x:c r="P18" s="36" t="str"/>
    </x:row>
    <x:row r="19" ht="44" customHeight="1">
      <x:c r="A19" s="39" t="str">
        <x:v>PROD-14</x:v>
      </x:c>
      <x:c r="B19" s="36" t="str">
        <x:v>Quick Plan</x:v>
      </x:c>
      <x:c r="C19" s="36" t="str">
        <x:v>Planning utility</x:v>
      </x:c>
      <x:c r="D19" s="42" t="str">
        <x:v>Частично</x:v>
      </x:c>
      <x:c r="E19" s="42" t="str">
        <x:v>Review</x:v>
      </x:c>
      <x:c r="F19" s="42" t="str">
        <x:v>Local/mock</x:v>
      </x:c>
      <x:c r="G19" s="42" t="str">
        <x:v>Частично</x:v>
      </x:c>
      <x:c r="H19" s="42" t="str">
        <x:v>Separate aggregate</x:v>
      </x:c>
      <x:c r="I19" s="42" t="str">
        <x:v>P1</x:v>
      </x:c>
      <x:c r="J19" s="36" t="str">
        <x:v>Write collaboration/lifecycle contract</x:v>
      </x:c>
      <x:c r="K19" s="36" t="str">
        <x:v>Dedicated spec gap</x:v>
      </x:c>
      <x:c r="L19" s="36" t="str">
        <x:v>Quick Plan</x:v>
      </x:c>
      <x:c r="M19" s="36" t="str">
        <x:v>docs/product/SCENARIO_QUICK_PLAN_BOUNDARY_MIGRATION_SLICE_SPEC.md</x:v>
      </x:c>
      <x:c r="N19" s="45" t="n">
        <x:v>46250</x:v>
      </x:c>
      <x:c r="O19" s="48" t="n">
        <x:f>IF(B19="","",AVERAGE(IFERROR(VLOOKUP(D19,'Справочники'!$A$5:$B$14,2,FALSE),0),IFERROR(VLOOKUP(E19,'Справочники'!$D$5:$E$12,2,FALSE),0),IFERROR(VLOOKUP(F19,'Справочники'!$G$5:$H$12,2,FALSE),0),IFERROR(VLOOKUP(G19,'Справочники'!$J$5:$K$12,2,FALSE),0)))</x:f>
        <x:v>0.5</x:v>
      </x:c>
      <x:c r="P19" s="36" t="str"/>
    </x:row>
    <x:row r="20" ht="44" customHeight="1">
      <x:c r="A20" s="39" t="str">
        <x:v>S1-DISC-01</x:v>
      </x:c>
      <x:c r="B20" s="36" t="str">
        <x:v>Discover baseline</x:v>
      </x:c>
      <x:c r="C20" s="36" t="str">
        <x:v>Delivered slice</x:v>
      </x:c>
      <x:c r="D20" s="42" t="str">
        <x:v>Готово local/mock</x:v>
      </x:c>
      <x:c r="E20" s="42" t="str">
        <x:v>Approved</x:v>
      </x:c>
      <x:c r="F20" s="42" t="str">
        <x:v>Local/mock</x:v>
      </x:c>
      <x:c r="G20" s="42" t="str">
        <x:v>Исторические зелёные</x:v>
      </x:c>
      <x:c r="H20" s="42" t="str">
        <x:v>Done checkpoint</x:v>
      </x:c>
      <x:c r="I20" s="42" t="str">
        <x:v>P1</x:v>
      </x:c>
      <x:c r="J20" s="36" t="str">
        <x:v>Подключить production data только через BCK-08/M8</x:v>
      </x:c>
      <x:c r="K20" s="36" t="str">
        <x:v>Backend отсутствует</x:v>
      </x:c>
      <x:c r="L20" s="36" t="str">
        <x:v>Discover</x:v>
      </x:c>
      <x:c r="M20" s="36" t="str">
        <x:v>docs/product/S1_DISC_SPEC.md</x:v>
      </x:c>
      <x:c r="N20" s="45" t="n">
        <x:v>46250.5</x:v>
      </x:c>
      <x:c r="O20" s="48" t="n">
        <x:f>IF(B20="","",AVERAGE(IFERROR(VLOOKUP(D20,'Справочники'!$A$5:$B$14,2,FALSE),0),IFERROR(VLOOKUP(E20,'Справочники'!$D$5:$E$12,2,FALSE),0),IFERROR(VLOOKUP(F20,'Справочники'!$G$5:$H$12,2,FALSE),0),IFERROR(VLOOKUP(G20,'Справочники'!$J$5:$K$12,2,FALSE),0)))</x:f>
        <x:v>0.7375</x:v>
      </x:c>
      <x:c r="P20" s="36" t="str"/>
    </x:row>
    <x:row r="21" ht="44" customHeight="1">
      <x:c r="A21" s="39" t="str">
        <x:v>S2-DISC-02</x:v>
      </x:c>
      <x:c r="B21" s="36" t="str">
        <x:v>Map experience</x:v>
      </x:c>
      <x:c r="C21" s="36" t="str">
        <x:v>Delivered slice</x:v>
      </x:c>
      <x:c r="D21" s="42" t="str">
        <x:v>Готово local/mock</x:v>
      </x:c>
      <x:c r="E21" s="42" t="str">
        <x:v>Approved</x:v>
      </x:c>
      <x:c r="F21" s="42" t="str">
        <x:v>Local/mock</x:v>
      </x:c>
      <x:c r="G21" s="42" t="str">
        <x:v>Исторические зелёные</x:v>
      </x:c>
      <x:c r="H21" s="42" t="str">
        <x:v>Done checkpoint</x:v>
      </x:c>
      <x:c r="I21" s="42" t="str">
        <x:v>P1</x:v>
      </x:c>
      <x:c r="J21" s="36" t="str">
        <x:v>Закрыть real location/provider slices</x:v>
      </x:c>
      <x:c r="K21" s="36" t="str">
        <x:v>Current location mock</x:v>
      </x:c>
      <x:c r="L21" s="36" t="str">
        <x:v>Discover</x:v>
      </x:c>
      <x:c r="M21" s="36" t="str">
        <x:v>docs/product/S2_DISC_02_MAP_SPEC.md</x:v>
      </x:c>
      <x:c r="N21" s="45" t="n">
        <x:v>46250.5</x:v>
      </x:c>
      <x:c r="O21" s="48" t="n">
        <x:f>IF(B21="","",AVERAGE(IFERROR(VLOOKUP(D21,'Справочники'!$A$5:$B$14,2,FALSE),0),IFERROR(VLOOKUP(E21,'Справочники'!$D$5:$E$12,2,FALSE),0),IFERROR(VLOOKUP(F21,'Справочники'!$G$5:$H$12,2,FALSE),0),IFERROR(VLOOKUP(G21,'Справочники'!$J$5:$K$12,2,FALSE),0)))</x:f>
        <x:v>0.7375</x:v>
      </x:c>
      <x:c r="P21" s="36" t="str"/>
    </x:row>
    <x:row r="22" ht="44" customHeight="1">
      <x:c r="A22" s="39" t="str">
        <x:v>S2-FAV-01</x:v>
      </x:c>
      <x:c r="B22" s="36" t="str">
        <x:v>Favorites</x:v>
      </x:c>
      <x:c r="C22" s="36" t="str">
        <x:v>Delivered slice</x:v>
      </x:c>
      <x:c r="D22" s="42" t="str">
        <x:v>Готово local/mock</x:v>
      </x:c>
      <x:c r="E22" s="42" t="str">
        <x:v>Approved</x:v>
      </x:c>
      <x:c r="F22" s="42" t="str">
        <x:v>Local/mock</x:v>
      </x:c>
      <x:c r="G22" s="42" t="str">
        <x:v>Исторические зелёные</x:v>
      </x:c>
      <x:c r="H22" s="42" t="str">
        <x:v>Done checkpoint</x:v>
      </x:c>
      <x:c r="I22" s="42" t="str">
        <x:v>P2</x:v>
      </x:c>
      <x:c r="J22" s="36" t="str">
        <x:v>Owner-scoped backend sync после BCK-12</x:v>
      </x:c>
      <x:c r="K22" s="36" t="str">
        <x:v>Backend отсутствует</x:v>
      </x:c>
      <x:c r="L22" s="36" t="str">
        <x:v>User Platform</x:v>
      </x:c>
      <x:c r="M22" s="36" t="str">
        <x:v>docs/architecture/LAUNCH_STATUS.md</x:v>
      </x:c>
      <x:c r="N22" s="45" t="n">
        <x:v>46250.5</x:v>
      </x:c>
      <x:c r="O22" s="48" t="n">
        <x:f>IF(B22="","",AVERAGE(IFERROR(VLOOKUP(D22,'Справочники'!$A$5:$B$14,2,FALSE),0),IFERROR(VLOOKUP(E22,'Справочники'!$D$5:$E$12,2,FALSE),0),IFERROR(VLOOKUP(F22,'Справочники'!$G$5:$H$12,2,FALSE),0),IFERROR(VLOOKUP(G22,'Справочники'!$J$5:$K$12,2,FALSE),0)))</x:f>
        <x:v>0.7375</x:v>
      </x:c>
      <x:c r="P22" s="36" t="str"/>
    </x:row>
    <x:row r="23" ht="44" customHeight="1">
      <x:c r="A23" s="39" t="str">
        <x:v>S3-NOTIF-01</x:v>
      </x:c>
      <x:c r="B23" s="36" t="str">
        <x:v>Notifications list/read</x:v>
      </x:c>
      <x:c r="C23" s="36" t="str">
        <x:v>Delivered slice</x:v>
      </x:c>
      <x:c r="D23" s="42" t="str">
        <x:v>Готово local/mock</x:v>
      </x:c>
      <x:c r="E23" s="42" t="str">
        <x:v>Approved</x:v>
      </x:c>
      <x:c r="F23" s="42" t="str">
        <x:v>Local/mock</x:v>
      </x:c>
      <x:c r="G23" s="42" t="str">
        <x:v>Исторические зелёные</x:v>
      </x:c>
      <x:c r="H23" s="42" t="str">
        <x:v>Done checkpoint</x:v>
      </x:c>
      <x:c r="I23" s="42" t="str">
        <x:v>P1</x:v>
      </x:c>
      <x:c r="J23" s="36" t="str">
        <x:v>Authoritative inbox/outbox + push позже</x:v>
      </x:c>
      <x:c r="K23" s="36" t="str">
        <x:v>BCK-13 отсутствует</x:v>
      </x:c>
      <x:c r="L23" s="36" t="str">
        <x:v>Notifications</x:v>
      </x:c>
      <x:c r="M23" s="36" t="str">
        <x:v>docs/product/S3_NOTIF_01_NOTIFICATIONS_SPEC.md</x:v>
      </x:c>
      <x:c r="N23" s="45" t="n">
        <x:v>46250.5</x:v>
      </x:c>
      <x:c r="O23" s="48" t="n">
        <x:f>IF(B23="","",AVERAGE(IFERROR(VLOOKUP(D23,'Справочники'!$A$5:$B$14,2,FALSE),0),IFERROR(VLOOKUP(E23,'Справочники'!$D$5:$E$12,2,FALSE),0),IFERROR(VLOOKUP(F23,'Справочники'!$G$5:$H$12,2,FALSE),0),IFERROR(VLOOKUP(G23,'Справочники'!$J$5:$K$12,2,FALSE),0)))</x:f>
        <x:v>0.7375</x:v>
      </x:c>
      <x:c r="P23" s="36" t="str"/>
    </x:row>
    <x:row r="24" ht="44" customHeight="1">
      <x:c r="A24" s="39" t="str">
        <x:v>VIS-HIST-01</x:v>
      </x:c>
      <x:c r="B24" s="36" t="str">
        <x:v>Visit History</x:v>
      </x:c>
      <x:c r="C24" s="36" t="str">
        <x:v>Delivered slice</x:v>
      </x:c>
      <x:c r="D24" s="42" t="str">
        <x:v>Готово local/mock</x:v>
      </x:c>
      <x:c r="E24" s="42" t="str">
        <x:v>Approved</x:v>
      </x:c>
      <x:c r="F24" s="42" t="str">
        <x:v>Local/mock</x:v>
      </x:c>
      <x:c r="G24" s="42" t="str">
        <x:v>Исторические зелёные</x:v>
      </x:c>
      <x:c r="H24" s="42" t="str">
        <x:v>Done</x:v>
      </x:c>
      <x:c r="I24" s="42" t="str">
        <x:v>P2</x:v>
      </x:c>
      <x:c r="J24" s="36" t="str">
        <x:v>Сохранить explicit self-report semantics</x:v>
      </x:c>
      <x:c r="K24" s="36" t="str">
        <x:v>Remote persistence gated</x:v>
      </x:c>
      <x:c r="L24" s="36" t="str">
        <x:v>User Platform</x:v>
      </x:c>
      <x:c r="M24" s="36" t="str">
        <x:v>docs/product/VISIT_HISTORY_SLICE_SPEC.md</x:v>
      </x:c>
      <x:c r="N24" s="45" t="n">
        <x:v>46250.5</x:v>
      </x:c>
      <x:c r="O24" s="48" t="n">
        <x:f>IF(B24="","",AVERAGE(IFERROR(VLOOKUP(D24,'Справочники'!$A$5:$B$14,2,FALSE),0),IFERROR(VLOOKUP(E24,'Справочники'!$D$5:$E$12,2,FALSE),0),IFERROR(VLOOKUP(F24,'Справочники'!$G$5:$H$12,2,FALSE),0),IFERROR(VLOOKUP(G24,'Справочники'!$J$5:$K$12,2,FALSE),0)))</x:f>
        <x:v>0.7375</x:v>
      </x:c>
      <x:c r="P24" s="36" t="str"/>
    </x:row>
    <x:row r="25" ht="44" customHeight="1">
      <x:c r="A25" s="39" t="str">
        <x:v>REV-MVP-01</x:v>
      </x:c>
      <x:c r="B25" s="36" t="str">
        <x:v>Reviews / Ratings</x:v>
      </x:c>
      <x:c r="C25" s="36" t="str">
        <x:v>Missing MVP product</x:v>
      </x:c>
      <x:c r="D25" s="42" t="str">
        <x:v>Отсутствует</x:v>
      </x:c>
      <x:c r="E25" s="42" t="str">
        <x:v>Отсутствует</x:v>
      </x:c>
      <x:c r="F25" s="42" t="str">
        <x:v>Отсутствует</x:v>
      </x:c>
      <x:c r="G25" s="42" t="str">
        <x:v>Не запускались</x:v>
      </x:c>
      <x:c r="H25" s="42" t="str">
        <x:v>Required before MVP release</x:v>
      </x:c>
      <x:c r="I25" s="42" t="str">
        <x:v>P0</x:v>
      </x:c>
      <x:c r="J25" s="36" t="str">
        <x:v>Создать канонический product/moderation spec</x:v>
      </x:c>
      <x:c r="K25" s="36" t="str">
        <x:v>Нет отдельной spec и runtime</x:v>
      </x:c>
      <x:c r="L25" s="36" t="str">
        <x:v>Product / Trust</x:v>
      </x:c>
      <x:c r="M25" s="36" t="str">
        <x:v>docs/product/VISION.md</x:v>
      </x:c>
      <x:c r="N25" s="45" t="n">
        <x:v>46250.5</x:v>
      </x:c>
      <x:c r="O25" s="48" t="n">
        <x:f>IF(B25="","",AVERAGE(IFERROR(VLOOKUP(D25,'Справочники'!$A$5:$B$14,2,FALSE),0),IFERROR(VLOOKUP(E25,'Справочники'!$D$5:$E$12,2,FALSE),0),IFERROR(VLOOKUP(F25,'Справочники'!$G$5:$H$12,2,FALSE),0),IFERROR(VLOOKUP(G25,'Справочники'!$J$5:$K$12,2,FALSE),0)))</x:f>
        <x:v>0</x:v>
      </x:c>
      <x:c r="P25" s="36" t="str"/>
    </x:row>
    <x:row r="26" ht="44" customHeight="1">
      <x:c r="A26" s="39" t="str">
        <x:v>FIND-PART-01</x:v>
      </x:c>
      <x:c r="B26" s="36" t="str">
        <x:v>Find People participation</x:v>
      </x:c>
      <x:c r="C26" s="36" t="str">
        <x:v>Post-create product</x:v>
      </x:c>
      <x:c r="D26" s="42" t="str">
        <x:v>План</x:v>
      </x:c>
      <x:c r="E26" s="42" t="str">
        <x:v>Approved</x:v>
      </x:c>
      <x:c r="F26" s="42" t="str">
        <x:v>Отсутствует</x:v>
      </x:c>
      <x:c r="G26" s="42" t="str">
        <x:v>Не запускались</x:v>
      </x:c>
      <x:c r="H26" s="42" t="str">
        <x:v>Post-stabilization</x:v>
      </x:c>
      <x:c r="I26" s="42" t="str">
        <x:v>P1</x:v>
      </x:c>
      <x:c r="J26" s="36" t="str">
        <x:v>Discover/Join/Waitlist/Report/Block/Chat slices</x:v>
      </x:c>
      <x:c r="K26" s="36" t="str">
        <x:v>BCK-08/12/22</x:v>
      </x:c>
      <x:c r="L26" s="36" t="str">
        <x:v>Find People</x:v>
      </x:c>
      <x:c r="M26" s="36" t="str">
        <x:v>docs/product/FIND_PEOPLE_CREATE_BLOCK_SPEC.md</x:v>
      </x:c>
      <x:c r="N26" s="45" t="n">
        <x:v>46250.5</x:v>
      </x:c>
      <x:c r="O26" s="48" t="n">
        <x:f>IF(B26="","",AVERAGE(IFERROR(VLOOKUP(D26,'Справочники'!$A$5:$B$14,2,FALSE),0),IFERROR(VLOOKUP(E26,'Справочники'!$D$5:$E$12,2,FALSE),0),IFERROR(VLOOKUP(F26,'Справочники'!$G$5:$H$12,2,FALSE),0),IFERROR(VLOOKUP(G26,'Справочники'!$J$5:$K$12,2,FALSE),0)))</x:f>
        <x:v>0.25</x:v>
      </x:c>
      <x:c r="P26" s="36" t="str"/>
    </x:row>
    <x:row r="27" ht="44" customHeight="1">
      <x:c r="A27" s="39" t="str">
        <x:v>SCN-PUB-01</x:v>
      </x:c>
      <x:c r="B27" s="36" t="str">
        <x:v>Scenario public/unlisted publish</x:v>
      </x:c>
      <x:c r="C27" s="36" t="str">
        <x:v>Production product</x:v>
      </x:c>
      <x:c r="D27" s="42" t="str">
        <x:v>План</x:v>
      </x:c>
      <x:c r="E27" s="42" t="str">
        <x:v>Approved</x:v>
      </x:c>
      <x:c r="F27" s="42" t="str">
        <x:v>Отсутствует</x:v>
      </x:c>
      <x:c r="G27" s="42" t="str">
        <x:v>Не запускались</x:v>
      </x:c>
      <x:c r="H27" s="42" t="str">
        <x:v>Identity/moderation/backend</x:v>
      </x:c>
      <x:c r="I27" s="42" t="str">
        <x:v>P1</x:v>
      </x:c>
      <x:c r="J27" s="36" t="str">
        <x:v>Отдельный publication capability slice</x:v>
      </x:c>
      <x:c r="K27" s="36" t="str">
        <x:v>BCK-06/07/10/22</x:v>
      </x:c>
      <x:c r="L27" s="36" t="str">
        <x:v>Scenario</x:v>
      </x:c>
      <x:c r="M27" s="36" t="str">
        <x:v>docs/architecture/LAUNCH_STATUS.md</x:v>
      </x:c>
      <x:c r="N27" s="45" t="n">
        <x:v>46250.5</x:v>
      </x:c>
      <x:c r="O27" s="48" t="n">
        <x:f>IF(B27="","",AVERAGE(IFERROR(VLOOKUP(D27,'Справочники'!$A$5:$B$14,2,FALSE),0),IFERROR(VLOOKUP(E27,'Справочники'!$D$5:$E$12,2,FALSE),0),IFERROR(VLOOKUP(F27,'Справочники'!$G$5:$H$12,2,FALSE),0),IFERROR(VLOOKUP(G27,'Справочники'!$J$5:$K$12,2,FALSE),0)))</x:f>
        <x:v>0.25</x:v>
      </x:c>
      <x:c r="P27" s="36" t="str"/>
    </x:row>
    <x:row r="28" ht="44" customHeight="1">
      <x:c r="A28" s="39" t="str">
        <x:v>SCN-OPS-01</x:v>
      </x:c>
      <x:c r="B28" s="36" t="str">
        <x:v>Scenario production operations</x:v>
      </x:c>
      <x:c r="C28" s="36" t="str">
        <x:v>Production readiness</x:v>
      </x:c>
      <x:c r="D28" s="42" t="str">
        <x:v>План</x:v>
      </x:c>
      <x:c r="E28" s="42" t="str">
        <x:v>Approved</x:v>
      </x:c>
      <x:c r="F28" s="42" t="str">
        <x:v>Отсутствует</x:v>
      </x:c>
      <x:c r="G28" s="42" t="str">
        <x:v>Не запускались</x:v>
      </x:c>
      <x:c r="H28" s="42" t="str">
        <x:v>Required after publish</x:v>
      </x:c>
      <x:c r="I28" s="42" t="str">
        <x:v>P2</x:v>
      </x:c>
      <x:c r="J28" s="36" t="str">
        <x:v>Sync/conflict/rollback/operations proof</x:v>
      </x:c>
      <x:c r="K28" s="36" t="str">
        <x:v>Backend runtime absent</x:v>
      </x:c>
      <x:c r="L28" s="36" t="str">
        <x:v>Scenario Ops</x:v>
      </x:c>
      <x:c r="M28" s="36" t="str">
        <x:v>docs/architecture/LAUNCH_STATUS.md</x:v>
      </x:c>
      <x:c r="N28" s="45" t="n">
        <x:v>46250.5</x:v>
      </x:c>
      <x:c r="O28" s="48" t="n">
        <x:f>IF(B28="","",AVERAGE(IFERROR(VLOOKUP(D28,'Справочники'!$A$5:$B$14,2,FALSE),0),IFERROR(VLOOKUP(E28,'Справочники'!$D$5:$E$12,2,FALSE),0),IFERROR(VLOOKUP(F28,'Справочники'!$G$5:$H$12,2,FALSE),0),IFERROR(VLOOKUP(G28,'Справочники'!$J$5:$K$12,2,FALSE),0)))</x:f>
        <x:v>0.25</x:v>
      </x:c>
      <x:c r="P28" s="36" t="str"/>
    </x:row>
    <x:row r="29" ht="44" customHeight="1">
      <x:c r="A29" s="39" t="str">
        <x:v>SCN-BOOK-01/02</x:v>
      </x:c>
      <x:c r="B29" s="36" t="str">
        <x:v>Scenario booking handoff</x:v>
      </x:c>
      <x:c r="C29" s="36" t="str">
        <x:v>Gated integration</x:v>
      </x:c>
      <x:c r="D29" s="42" t="str">
        <x:v>План</x:v>
      </x:c>
      <x:c r="E29" s="42" t="str">
        <x:v>Approved</x:v>
      </x:c>
      <x:c r="F29" s="42" t="str">
        <x:v>Отсутствует</x:v>
      </x:c>
      <x:c r="G29" s="42" t="str">
        <x:v>Не запускались</x:v>
      </x:c>
      <x:c r="H29" s="42" t="str">
        <x:v>Booking/provider gates</x:v>
      </x:c>
      <x:c r="I29" s="42" t="str">
        <x:v>P2</x:v>
      </x:c>
      <x:c r="J29" s="36" t="str">
        <x:v>Сначала shortlist/live-check и отдельные provider slices</x:v>
      </x:c>
      <x:c r="K29" s="36" t="str">
        <x:v>ECL-03C/BCK-16</x:v>
      </x:c>
      <x:c r="L29" s="36" t="str">
        <x:v>Scenario / Booking</x:v>
      </x:c>
      <x:c r="M29" s="36" t="str">
        <x:v>docs/architecture/LAUNCH_STATUS.md</x:v>
      </x:c>
      <x:c r="N29" s="45" t="n">
        <x:v>46250.5</x:v>
      </x:c>
      <x:c r="O29" s="48" t="n">
        <x:f>IF(B29="","",AVERAGE(IFERROR(VLOOKUP(D29,'Справочники'!$A$5:$B$14,2,FALSE),0),IFERROR(VLOOKUP(E29,'Справочники'!$D$5:$E$12,2,FALSE),0),IFERROR(VLOOKUP(F29,'Справочники'!$G$5:$H$12,2,FALSE),0),IFERROR(VLOOKUP(G29,'Справочники'!$J$5:$K$12,2,FALSE),0)))</x:f>
        <x:v>0.25</x:v>
      </x:c>
      <x:c r="P29" s="36" t="str"/>
    </x:row>
    <x:row r="30" ht="44" customHeight="1">
      <x:c r="A30" s="39" t="str">
        <x:v>RTE-12-PROD</x:v>
      </x:c>
      <x:c r="B30" s="36" t="str">
        <x:v>Route production adapters</x:v>
      </x:c>
      <x:c r="C30" s="36" t="str">
        <x:v>Production product</x:v>
      </x:c>
      <x:c r="D30" s="42" t="str">
        <x:v>План</x:v>
      </x:c>
      <x:c r="E30" s="42" t="str">
        <x:v>Approved</x:v>
      </x:c>
      <x:c r="F30" s="42" t="str">
        <x:v>Отсутствует</x:v>
      </x:c>
      <x:c r="G30" s="42" t="str">
        <x:v>Не запускались</x:v>
      </x:c>
      <x:c r="H30" s="42" t="str">
        <x:v>RTE-12</x:v>
      </x:c>
      <x:c r="I30" s="42" t="str">
        <x:v>P1</x:v>
      </x:c>
      <x:c r="J30" s="36" t="str">
        <x:v>Backend/media/privacy/device/operations slices</x:v>
      </x:c>
      <x:c r="K30" s="36" t="str">
        <x:v>RTE-08–11 Review</x:v>
      </x:c>
      <x:c r="L30" s="36" t="str">
        <x:v>Route</x:v>
      </x:c>
      <x:c r="M30" s="36" t="str">
        <x:v>docs/product/ROUTE_IMPLEMENTATION_ROADMAP.md</x:v>
      </x:c>
      <x:c r="N30" s="45" t="n">
        <x:v>46250.5</x:v>
      </x:c>
      <x:c r="O30" s="48" t="n">
        <x:f>IF(B30="","",AVERAGE(IFERROR(VLOOKUP(D30,'Справочники'!$A$5:$B$14,2,FALSE),0),IFERROR(VLOOKUP(E30,'Справочники'!$D$5:$E$12,2,FALSE),0),IFERROR(VLOOKUP(F30,'Справочники'!$G$5:$H$12,2,FALSE),0),IFERROR(VLOOKUP(G30,'Справочники'!$J$5:$K$12,2,FALSE),0)))</x:f>
        <x:v>0.25</x:v>
      </x:c>
      <x:c r="P30" s="36" t="str"/>
    </x:row>
    <x:row r="31" ht="44" customHeight="1">
      <x:c r="A31" s="39"/>
      <x:c r="B31" s="36"/>
      <x:c r="C31" s="36"/>
      <x:c r="D31" s="42"/>
      <x:c r="E31" s="42"/>
      <x:c r="F31" s="42"/>
      <x:c r="G31" s="42"/>
      <x:c r="H31" s="42"/>
      <x:c r="I31" s="42"/>
      <x:c r="J31" s="36"/>
      <x:c r="K31" s="36"/>
      <x:c r="L31" s="36"/>
      <x:c r="M31" s="36"/>
      <x:c r="N31" s="45"/>
      <x:c r="O31" s="48" t="str">
        <x:f>IF(B31="","",AVERAGE(IFERROR(VLOOKUP(D31,'Справочники'!$A$5:$B$14,2,FALSE),0),IFERROR(VLOOKUP(E31,'Справочники'!$D$5:$E$12,2,FALSE),0),IFERROR(VLOOKUP(F31,'Справочники'!$G$5:$H$12,2,FALSE),0),IFERROR(VLOOKUP(G31,'Справочники'!$J$5:$K$12,2,FALSE),0)))</x:f>
      </x:c>
      <x:c r="P31" s="36"/>
    </x:row>
    <x:row r="32" ht="44" customHeight="1">
      <x:c r="A32" s="39"/>
      <x:c r="B32" s="36"/>
      <x:c r="C32" s="36"/>
      <x:c r="D32" s="42"/>
      <x:c r="E32" s="42"/>
      <x:c r="F32" s="42"/>
      <x:c r="G32" s="42"/>
      <x:c r="H32" s="42"/>
      <x:c r="I32" s="42"/>
      <x:c r="J32" s="36"/>
      <x:c r="K32" s="36"/>
      <x:c r="L32" s="36"/>
      <x:c r="M32" s="36"/>
      <x:c r="N32" s="45"/>
      <x:c r="O32" s="48" t="str">
        <x:f>IF(B32="","",AVERAGE(IFERROR(VLOOKUP(D32,'Справочники'!$A$5:$B$14,2,FALSE),0),IFERROR(VLOOKUP(E32,'Справочники'!$D$5:$E$12,2,FALSE),0),IFERROR(VLOOKUP(F32,'Справочники'!$G$5:$H$12,2,FALSE),0),IFERROR(VLOOKUP(G32,'Справочники'!$J$5:$K$12,2,FALSE),0)))</x:f>
      </x:c>
      <x:c r="P32" s="36"/>
    </x:row>
    <x:row r="33" ht="44" customHeight="1">
      <x:c r="A33" s="39"/>
      <x:c r="B33" s="36"/>
      <x:c r="C33" s="36"/>
      <x:c r="D33" s="42"/>
      <x:c r="E33" s="42"/>
      <x:c r="F33" s="42"/>
      <x:c r="G33" s="42"/>
      <x:c r="H33" s="42"/>
      <x:c r="I33" s="42"/>
      <x:c r="J33" s="36"/>
      <x:c r="K33" s="36"/>
      <x:c r="L33" s="36"/>
      <x:c r="M33" s="36"/>
      <x:c r="N33" s="45"/>
      <x:c r="O33" s="48" t="str">
        <x:f>IF(B33="","",AVERAGE(IFERROR(VLOOKUP(D33,'Справочники'!$A$5:$B$14,2,FALSE),0),IFERROR(VLOOKUP(E33,'Справочники'!$D$5:$E$12,2,FALSE),0),IFERROR(VLOOKUP(F33,'Справочники'!$G$5:$H$12,2,FALSE),0),IFERROR(VLOOKUP(G33,'Справочники'!$J$5:$K$12,2,FALSE),0)))</x:f>
      </x:c>
      <x:c r="P33" s="36"/>
    </x:row>
    <x:row r="34" ht="44" customHeight="1">
      <x:c r="A34" s="39"/>
      <x:c r="B34" s="36"/>
      <x:c r="C34" s="36"/>
      <x:c r="D34" s="42"/>
      <x:c r="E34" s="42"/>
      <x:c r="F34" s="42"/>
      <x:c r="G34" s="42"/>
      <x:c r="H34" s="42"/>
      <x:c r="I34" s="42"/>
      <x:c r="J34" s="36"/>
      <x:c r="K34" s="36"/>
      <x:c r="L34" s="36"/>
      <x:c r="M34" s="36"/>
      <x:c r="N34" s="45"/>
      <x:c r="O34" s="48" t="str">
        <x:f>IF(B34="","",AVERAGE(IFERROR(VLOOKUP(D34,'Справочники'!$A$5:$B$14,2,FALSE),0),IFERROR(VLOOKUP(E34,'Справочники'!$D$5:$E$12,2,FALSE),0),IFERROR(VLOOKUP(F34,'Справочники'!$G$5:$H$12,2,FALSE),0),IFERROR(VLOOKUP(G34,'Справочники'!$J$5:$K$12,2,FALSE),0)))</x:f>
      </x:c>
      <x:c r="P34" s="36"/>
    </x:row>
    <x:row r="35" ht="44" customHeight="1">
      <x:c r="A35" s="39"/>
      <x:c r="B35" s="36"/>
      <x:c r="C35" s="36"/>
      <x:c r="D35" s="42"/>
      <x:c r="E35" s="42"/>
      <x:c r="F35" s="42"/>
      <x:c r="G35" s="42"/>
      <x:c r="H35" s="42"/>
      <x:c r="I35" s="42"/>
      <x:c r="J35" s="36"/>
      <x:c r="K35" s="36"/>
      <x:c r="L35" s="36"/>
      <x:c r="M35" s="36"/>
      <x:c r="N35" s="45"/>
      <x:c r="O35" s="48" t="str">
        <x:f>IF(B35="","",AVERAGE(IFERROR(VLOOKUP(D35,'Справочники'!$A$5:$B$14,2,FALSE),0),IFERROR(VLOOKUP(E35,'Справочники'!$D$5:$E$12,2,FALSE),0),IFERROR(VLOOKUP(F35,'Справочники'!$G$5:$H$12,2,FALSE),0),IFERROR(VLOOKUP(G35,'Справочники'!$J$5:$K$12,2,FALSE),0)))</x:f>
      </x:c>
      <x:c r="P35" s="36"/>
    </x:row>
    <x:row r="36" ht="44" customHeight="1">
      <x:c r="A36" s="39"/>
      <x:c r="B36" s="36"/>
      <x:c r="C36" s="36"/>
      <x:c r="D36" s="42"/>
      <x:c r="E36" s="42"/>
      <x:c r="F36" s="42"/>
      <x:c r="G36" s="42"/>
      <x:c r="H36" s="42"/>
      <x:c r="I36" s="42"/>
      <x:c r="J36" s="36"/>
      <x:c r="K36" s="36"/>
      <x:c r="L36" s="36"/>
      <x:c r="M36" s="36"/>
      <x:c r="N36" s="45"/>
      <x:c r="O36" s="48" t="str">
        <x:f>IF(B36="","",AVERAGE(IFERROR(VLOOKUP(D36,'Справочники'!$A$5:$B$14,2,FALSE),0),IFERROR(VLOOKUP(E36,'Справочники'!$D$5:$E$12,2,FALSE),0),IFERROR(VLOOKUP(F36,'Справочники'!$G$5:$H$12,2,FALSE),0),IFERROR(VLOOKUP(G36,'Справочники'!$J$5:$K$12,2,FALSE),0)))</x:f>
      </x:c>
      <x:c r="P36" s="36"/>
    </x:row>
    <x:row r="37" ht="44" customHeight="1">
      <x:c r="A37" s="39"/>
      <x:c r="B37" s="36"/>
      <x:c r="C37" s="36"/>
      <x:c r="D37" s="42"/>
      <x:c r="E37" s="42"/>
      <x:c r="F37" s="42"/>
      <x:c r="G37" s="42"/>
      <x:c r="H37" s="42"/>
      <x:c r="I37" s="42"/>
      <x:c r="J37" s="36"/>
      <x:c r="K37" s="36"/>
      <x:c r="L37" s="36"/>
      <x:c r="M37" s="36"/>
      <x:c r="N37" s="45"/>
      <x:c r="O37" s="48" t="str">
        <x:f>IF(B37="","",AVERAGE(IFERROR(VLOOKUP(D37,'Справочники'!$A$5:$B$14,2,FALSE),0),IFERROR(VLOOKUP(E37,'Справочники'!$D$5:$E$12,2,FALSE),0),IFERROR(VLOOKUP(F37,'Справочники'!$G$5:$H$12,2,FALSE),0),IFERROR(VLOOKUP(G37,'Справочники'!$J$5:$K$12,2,FALSE),0)))</x:f>
      </x:c>
      <x:c r="P37" s="36"/>
    </x:row>
    <x:row r="38" ht="44" customHeight="1">
      <x:c r="A38" s="39"/>
      <x:c r="B38" s="36"/>
      <x:c r="C38" s="36"/>
      <x:c r="D38" s="42"/>
      <x:c r="E38" s="42"/>
      <x:c r="F38" s="42"/>
      <x:c r="G38" s="42"/>
      <x:c r="H38" s="42"/>
      <x:c r="I38" s="42"/>
      <x:c r="J38" s="36"/>
      <x:c r="K38" s="36"/>
      <x:c r="L38" s="36"/>
      <x:c r="M38" s="36"/>
      <x:c r="N38" s="45"/>
      <x:c r="O38" s="48" t="str">
        <x:f>IF(B38="","",AVERAGE(IFERROR(VLOOKUP(D38,'Справочники'!$A$5:$B$14,2,FALSE),0),IFERROR(VLOOKUP(E38,'Справочники'!$D$5:$E$12,2,FALSE),0),IFERROR(VLOOKUP(F38,'Справочники'!$G$5:$H$12,2,FALSE),0),IFERROR(VLOOKUP(G38,'Справочники'!$J$5:$K$12,2,FALSE),0)))</x:f>
      </x:c>
      <x:c r="P38" s="36"/>
    </x:row>
    <x:row r="39" ht="44" customHeight="1">
      <x:c r="A39" s="39"/>
      <x:c r="B39" s="36"/>
      <x:c r="C39" s="36"/>
      <x:c r="D39" s="42"/>
      <x:c r="E39" s="42"/>
      <x:c r="F39" s="42"/>
      <x:c r="G39" s="42"/>
      <x:c r="H39" s="42"/>
      <x:c r="I39" s="42"/>
      <x:c r="J39" s="36"/>
      <x:c r="K39" s="36"/>
      <x:c r="L39" s="36"/>
      <x:c r="M39" s="36"/>
      <x:c r="N39" s="45"/>
      <x:c r="O39" s="48" t="str">
        <x:f>IF(B39="","",AVERAGE(IFERROR(VLOOKUP(D39,'Справочники'!$A$5:$B$14,2,FALSE),0),IFERROR(VLOOKUP(E39,'Справочники'!$D$5:$E$12,2,FALSE),0),IFERROR(VLOOKUP(F39,'Справочники'!$G$5:$H$12,2,FALSE),0),IFERROR(VLOOKUP(G39,'Справочники'!$J$5:$K$12,2,FALSE),0)))</x:f>
      </x:c>
      <x:c r="P39" s="36"/>
    </x:row>
    <x:row r="40" ht="44" customHeight="1">
      <x:c r="A40" s="39"/>
      <x:c r="B40" s="36"/>
      <x:c r="C40" s="36"/>
      <x:c r="D40" s="42"/>
      <x:c r="E40" s="42"/>
      <x:c r="F40" s="42"/>
      <x:c r="G40" s="42"/>
      <x:c r="H40" s="42"/>
      <x:c r="I40" s="42"/>
      <x:c r="J40" s="36"/>
      <x:c r="K40" s="36"/>
      <x:c r="L40" s="36"/>
      <x:c r="M40" s="36"/>
      <x:c r="N40" s="45"/>
      <x:c r="O40" s="48" t="str">
        <x:f>IF(B40="","",AVERAGE(IFERROR(VLOOKUP(D40,'Справочники'!$A$5:$B$14,2,FALSE),0),IFERROR(VLOOKUP(E40,'Справочники'!$D$5:$E$12,2,FALSE),0),IFERROR(VLOOKUP(F40,'Справочники'!$G$5:$H$12,2,FALSE),0),IFERROR(VLOOKUP(G40,'Справочники'!$J$5:$K$12,2,FALSE),0)))</x:f>
      </x:c>
      <x:c r="P40" s="36"/>
    </x:row>
    <x:row r="41" ht="44" customHeight="1">
      <x:c r="A41" s="39"/>
      <x:c r="B41" s="36"/>
      <x:c r="C41" s="36"/>
      <x:c r="D41" s="42"/>
      <x:c r="E41" s="42"/>
      <x:c r="F41" s="42"/>
      <x:c r="G41" s="42"/>
      <x:c r="H41" s="42"/>
      <x:c r="I41" s="42"/>
      <x:c r="J41" s="36"/>
      <x:c r="K41" s="36"/>
      <x:c r="L41" s="36"/>
      <x:c r="M41" s="36"/>
      <x:c r="N41" s="45"/>
      <x:c r="O41" s="48" t="str">
        <x:f>IF(B41="","",AVERAGE(IFERROR(VLOOKUP(D41,'Справочники'!$A$5:$B$14,2,FALSE),0),IFERROR(VLOOKUP(E41,'Справочники'!$D$5:$E$12,2,FALSE),0),IFERROR(VLOOKUP(F41,'Справочники'!$G$5:$H$12,2,FALSE),0),IFERROR(VLOOKUP(G41,'Справочники'!$J$5:$K$12,2,FALSE),0)))</x:f>
      </x:c>
      <x:c r="P41" s="36"/>
    </x:row>
    <x:row r="42" ht="44" customHeight="1">
      <x:c r="A42" s="39"/>
      <x:c r="B42" s="36"/>
      <x:c r="C42" s="36"/>
      <x:c r="D42" s="42"/>
      <x:c r="E42" s="42"/>
      <x:c r="F42" s="42"/>
      <x:c r="G42" s="42"/>
      <x:c r="H42" s="42"/>
      <x:c r="I42" s="42"/>
      <x:c r="J42" s="36"/>
      <x:c r="K42" s="36"/>
      <x:c r="L42" s="36"/>
      <x:c r="M42" s="36"/>
      <x:c r="N42" s="45"/>
      <x:c r="O42" s="48" t="str">
        <x:f>IF(B42="","",AVERAGE(IFERROR(VLOOKUP(D42,'Справочники'!$A$5:$B$14,2,FALSE),0),IFERROR(VLOOKUP(E42,'Справочники'!$D$5:$E$12,2,FALSE),0),IFERROR(VLOOKUP(F42,'Справочники'!$G$5:$H$12,2,FALSE),0),IFERROR(VLOOKUP(G42,'Справочники'!$J$5:$K$12,2,FALSE),0)))</x:f>
      </x:c>
      <x:c r="P42" s="36"/>
    </x:row>
    <x:row r="43" ht="44" customHeight="1">
      <x:c r="A43" s="39"/>
      <x:c r="B43" s="36"/>
      <x:c r="C43" s="36"/>
      <x:c r="D43" s="42"/>
      <x:c r="E43" s="42"/>
      <x:c r="F43" s="42"/>
      <x:c r="G43" s="42"/>
      <x:c r="H43" s="42"/>
      <x:c r="I43" s="42"/>
      <x:c r="J43" s="36"/>
      <x:c r="K43" s="36"/>
      <x:c r="L43" s="36"/>
      <x:c r="M43" s="36"/>
      <x:c r="N43" s="45"/>
      <x:c r="O43" s="48" t="str">
        <x:f>IF(B43="","",AVERAGE(IFERROR(VLOOKUP(D43,'Справочники'!$A$5:$B$14,2,FALSE),0),IFERROR(VLOOKUP(E43,'Справочники'!$D$5:$E$12,2,FALSE),0),IFERROR(VLOOKUP(F43,'Справочники'!$G$5:$H$12,2,FALSE),0),IFERROR(VLOOKUP(G43,'Справочники'!$J$5:$K$12,2,FALSE),0)))</x:f>
      </x:c>
      <x:c r="P43" s="36"/>
    </x:row>
    <x:row r="44" ht="44" customHeight="1">
      <x:c r="A44" s="39"/>
      <x:c r="B44" s="36"/>
      <x:c r="C44" s="36"/>
      <x:c r="D44" s="42"/>
      <x:c r="E44" s="42"/>
      <x:c r="F44" s="42"/>
      <x:c r="G44" s="42"/>
      <x:c r="H44" s="42"/>
      <x:c r="I44" s="42"/>
      <x:c r="J44" s="36"/>
      <x:c r="K44" s="36"/>
      <x:c r="L44" s="36"/>
      <x:c r="M44" s="36"/>
      <x:c r="N44" s="45"/>
      <x:c r="O44" s="48" t="str">
        <x:f>IF(B44="","",AVERAGE(IFERROR(VLOOKUP(D44,'Справочники'!$A$5:$B$14,2,FALSE),0),IFERROR(VLOOKUP(E44,'Справочники'!$D$5:$E$12,2,FALSE),0),IFERROR(VLOOKUP(F44,'Справочники'!$G$5:$H$12,2,FALSE),0),IFERROR(VLOOKUP(G44,'Справочники'!$J$5:$K$12,2,FALSE),0)))</x:f>
      </x:c>
      <x:c r="P44" s="36"/>
    </x:row>
    <x:row r="45" ht="44" customHeight="1">
      <x:c r="A45" s="39"/>
      <x:c r="B45" s="36"/>
      <x:c r="C45" s="36"/>
      <x:c r="D45" s="42"/>
      <x:c r="E45" s="42"/>
      <x:c r="F45" s="42"/>
      <x:c r="G45" s="42"/>
      <x:c r="H45" s="42"/>
      <x:c r="I45" s="42"/>
      <x:c r="J45" s="36"/>
      <x:c r="K45" s="36"/>
      <x:c r="L45" s="36"/>
      <x:c r="M45" s="36"/>
      <x:c r="N45" s="45"/>
      <x:c r="O45" s="48" t="str">
        <x:f>IF(B45="","",AVERAGE(IFERROR(VLOOKUP(D45,'Справочники'!$A$5:$B$14,2,FALSE),0),IFERROR(VLOOKUP(E45,'Справочники'!$D$5:$E$12,2,FALSE),0),IFERROR(VLOOKUP(F45,'Справочники'!$G$5:$H$12,2,FALSE),0),IFERROR(VLOOKUP(G45,'Справочники'!$J$5:$K$12,2,FALSE),0)))</x:f>
      </x:c>
      <x:c r="P45" s="36"/>
    </x:row>
    <x:row r="46" ht="44" customHeight="1">
      <x:c r="A46" s="39"/>
      <x:c r="B46" s="36"/>
      <x:c r="C46" s="36"/>
      <x:c r="D46" s="42"/>
      <x:c r="E46" s="42"/>
      <x:c r="F46" s="42"/>
      <x:c r="G46" s="42"/>
      <x:c r="H46" s="42"/>
      <x:c r="I46" s="42"/>
      <x:c r="J46" s="36"/>
      <x:c r="K46" s="36"/>
      <x:c r="L46" s="36"/>
      <x:c r="M46" s="36"/>
      <x:c r="N46" s="45"/>
      <x:c r="O46" s="48" t="str">
        <x:f>IF(B46="","",AVERAGE(IFERROR(VLOOKUP(D46,'Справочники'!$A$5:$B$14,2,FALSE),0),IFERROR(VLOOKUP(E46,'Справочники'!$D$5:$E$12,2,FALSE),0),IFERROR(VLOOKUP(F46,'Справочники'!$G$5:$H$12,2,FALSE),0),IFERROR(VLOOKUP(G46,'Справочники'!$J$5:$K$12,2,FALSE),0)))</x:f>
      </x:c>
      <x:c r="P46" s="36"/>
    </x:row>
    <x:row r="47" ht="44" customHeight="1">
      <x:c r="A47" s="39"/>
      <x:c r="B47" s="36"/>
      <x:c r="C47" s="36"/>
      <x:c r="D47" s="42"/>
      <x:c r="E47" s="42"/>
      <x:c r="F47" s="42"/>
      <x:c r="G47" s="42"/>
      <x:c r="H47" s="42"/>
      <x:c r="I47" s="42"/>
      <x:c r="J47" s="36"/>
      <x:c r="K47" s="36"/>
      <x:c r="L47" s="36"/>
      <x:c r="M47" s="36"/>
      <x:c r="N47" s="45"/>
      <x:c r="O47" s="48" t="str">
        <x:f>IF(B47="","",AVERAGE(IFERROR(VLOOKUP(D47,'Справочники'!$A$5:$B$14,2,FALSE),0),IFERROR(VLOOKUP(E47,'Справочники'!$D$5:$E$12,2,FALSE),0),IFERROR(VLOOKUP(F47,'Справочники'!$G$5:$H$12,2,FALSE),0),IFERROR(VLOOKUP(G47,'Справочники'!$J$5:$K$12,2,FALSE),0)))</x:f>
      </x:c>
      <x:c r="P47" s="36"/>
    </x:row>
    <x:row r="48" ht="44" customHeight="1">
      <x:c r="A48" s="39"/>
      <x:c r="B48" s="36"/>
      <x:c r="C48" s="36"/>
      <x:c r="D48" s="42"/>
      <x:c r="E48" s="42"/>
      <x:c r="F48" s="42"/>
      <x:c r="G48" s="42"/>
      <x:c r="H48" s="42"/>
      <x:c r="I48" s="42"/>
      <x:c r="J48" s="36"/>
      <x:c r="K48" s="36"/>
      <x:c r="L48" s="36"/>
      <x:c r="M48" s="36"/>
      <x:c r="N48" s="45"/>
      <x:c r="O48" s="48" t="str">
        <x:f>IF(B48="","",AVERAGE(IFERROR(VLOOKUP(D48,'Справочники'!$A$5:$B$14,2,FALSE),0),IFERROR(VLOOKUP(E48,'Справочники'!$D$5:$E$12,2,FALSE),0),IFERROR(VLOOKUP(F48,'Справочники'!$G$5:$H$12,2,FALSE),0),IFERROR(VLOOKUP(G48,'Справочники'!$J$5:$K$12,2,FALSE),0)))</x:f>
      </x:c>
      <x:c r="P48" s="36"/>
    </x:row>
    <x:row r="49" ht="44" customHeight="1">
      <x:c r="A49" s="39"/>
      <x:c r="B49" s="36"/>
      <x:c r="C49" s="36"/>
      <x:c r="D49" s="42"/>
      <x:c r="E49" s="42"/>
      <x:c r="F49" s="42"/>
      <x:c r="G49" s="42"/>
      <x:c r="H49" s="42"/>
      <x:c r="I49" s="42"/>
      <x:c r="J49" s="36"/>
      <x:c r="K49" s="36"/>
      <x:c r="L49" s="36"/>
      <x:c r="M49" s="36"/>
      <x:c r="N49" s="45"/>
      <x:c r="O49" s="48" t="str">
        <x:f>IF(B49="","",AVERAGE(IFERROR(VLOOKUP(D49,'Справочники'!$A$5:$B$14,2,FALSE),0),IFERROR(VLOOKUP(E49,'Справочники'!$D$5:$E$12,2,FALSE),0),IFERROR(VLOOKUP(F49,'Справочники'!$G$5:$H$12,2,FALSE),0),IFERROR(VLOOKUP(G49,'Справочники'!$J$5:$K$12,2,FALSE),0)))</x:f>
      </x:c>
      <x:c r="P49" s="36"/>
    </x:row>
    <x:row r="50" ht="44" customHeight="1">
      <x:c r="A50" s="39"/>
      <x:c r="B50" s="36"/>
      <x:c r="C50" s="36"/>
      <x:c r="D50" s="42"/>
      <x:c r="E50" s="42"/>
      <x:c r="F50" s="42"/>
      <x:c r="G50" s="42"/>
      <x:c r="H50" s="42"/>
      <x:c r="I50" s="42"/>
      <x:c r="J50" s="36"/>
      <x:c r="K50" s="36"/>
      <x:c r="L50" s="36"/>
      <x:c r="M50" s="36"/>
      <x:c r="N50" s="45"/>
      <x:c r="O50" s="48" t="str">
        <x:f>IF(B50="","",AVERAGE(IFERROR(VLOOKUP(D50,'Справочники'!$A$5:$B$14,2,FALSE),0),IFERROR(VLOOKUP(E50,'Справочники'!$D$5:$E$12,2,FALSE),0),IFERROR(VLOOKUP(F50,'Справочники'!$G$5:$H$12,2,FALSE),0),IFERROR(VLOOKUP(G50,'Справочники'!$J$5:$K$12,2,FALSE),0)))</x:f>
      </x:c>
      <x:c r="P50" s="36"/>
    </x:row>
    <x:row r="51" ht="44" customHeight="1">
      <x:c r="A51" s="39"/>
      <x:c r="B51" s="36"/>
      <x:c r="C51" s="36"/>
      <x:c r="D51" s="42"/>
      <x:c r="E51" s="42"/>
      <x:c r="F51" s="42"/>
      <x:c r="G51" s="42"/>
      <x:c r="H51" s="42"/>
      <x:c r="I51" s="42"/>
      <x:c r="J51" s="36"/>
      <x:c r="K51" s="36"/>
      <x:c r="L51" s="36"/>
      <x:c r="M51" s="36"/>
      <x:c r="N51" s="45"/>
      <x:c r="O51" s="48" t="str">
        <x:f>IF(B51="","",AVERAGE(IFERROR(VLOOKUP(D51,'Справочники'!$A$5:$B$14,2,FALSE),0),IFERROR(VLOOKUP(E51,'Справочники'!$D$5:$E$12,2,FALSE),0),IFERROR(VLOOKUP(F51,'Справочники'!$G$5:$H$12,2,FALSE),0),IFERROR(VLOOKUP(G51,'Справочники'!$J$5:$K$12,2,FALSE),0)))</x:f>
      </x:c>
      <x:c r="P51" s="36"/>
    </x:row>
    <x:row r="52" ht="44" customHeight="1">
      <x:c r="A52" s="39"/>
      <x:c r="B52" s="36"/>
      <x:c r="C52" s="36"/>
      <x:c r="D52" s="42"/>
      <x:c r="E52" s="42"/>
      <x:c r="F52" s="42"/>
      <x:c r="G52" s="42"/>
      <x:c r="H52" s="42"/>
      <x:c r="I52" s="42"/>
      <x:c r="J52" s="36"/>
      <x:c r="K52" s="36"/>
      <x:c r="L52" s="36"/>
      <x:c r="M52" s="36"/>
      <x:c r="N52" s="45"/>
      <x:c r="O52" s="48" t="str">
        <x:f>IF(B52="","",AVERAGE(IFERROR(VLOOKUP(D52,'Справочники'!$A$5:$B$14,2,FALSE),0),IFERROR(VLOOKUP(E52,'Справочники'!$D$5:$E$12,2,FALSE),0),IFERROR(VLOOKUP(F52,'Справочники'!$G$5:$H$12,2,FALSE),0),IFERROR(VLOOKUP(G52,'Справочники'!$J$5:$K$12,2,FALSE),0)))</x:f>
      </x:c>
      <x:c r="P52" s="36"/>
    </x:row>
    <x:row r="53" ht="44" customHeight="1">
      <x:c r="A53" s="39"/>
      <x:c r="B53" s="36"/>
      <x:c r="C53" s="36"/>
      <x:c r="D53" s="42"/>
      <x:c r="E53" s="42"/>
      <x:c r="F53" s="42"/>
      <x:c r="G53" s="42"/>
      <x:c r="H53" s="42"/>
      <x:c r="I53" s="42"/>
      <x:c r="J53" s="36"/>
      <x:c r="K53" s="36"/>
      <x:c r="L53" s="36"/>
      <x:c r="M53" s="36"/>
      <x:c r="N53" s="45"/>
      <x:c r="O53" s="48" t="str">
        <x:f>IF(B53="","",AVERAGE(IFERROR(VLOOKUP(D53,'Справочники'!$A$5:$B$14,2,FALSE),0),IFERROR(VLOOKUP(E53,'Справочники'!$D$5:$E$12,2,FALSE),0),IFERROR(VLOOKUP(F53,'Справочники'!$G$5:$H$12,2,FALSE),0),IFERROR(VLOOKUP(G53,'Справочники'!$J$5:$K$12,2,FALSE),0)))</x:f>
      </x:c>
      <x:c r="P53" s="36"/>
    </x:row>
    <x:row r="54" ht="44" customHeight="1">
      <x:c r="A54" s="39"/>
      <x:c r="B54" s="36"/>
      <x:c r="C54" s="36"/>
      <x:c r="D54" s="42"/>
      <x:c r="E54" s="42"/>
      <x:c r="F54" s="42"/>
      <x:c r="G54" s="42"/>
      <x:c r="H54" s="42"/>
      <x:c r="I54" s="42"/>
      <x:c r="J54" s="36"/>
      <x:c r="K54" s="36"/>
      <x:c r="L54" s="36"/>
      <x:c r="M54" s="36"/>
      <x:c r="N54" s="45"/>
      <x:c r="O54" s="48" t="str">
        <x:f>IF(B54="","",AVERAGE(IFERROR(VLOOKUP(D54,'Справочники'!$A$5:$B$14,2,FALSE),0),IFERROR(VLOOKUP(E54,'Справочники'!$D$5:$E$12,2,FALSE),0),IFERROR(VLOOKUP(F54,'Справочники'!$G$5:$H$12,2,FALSE),0),IFERROR(VLOOKUP(G54,'Справочники'!$J$5:$K$12,2,FALSE),0)))</x:f>
      </x:c>
      <x:c r="P54" s="36"/>
    </x:row>
    <x:row r="55" ht="44" customHeight="1">
      <x:c r="A55" s="39"/>
      <x:c r="B55" s="36"/>
      <x:c r="C55" s="36"/>
      <x:c r="D55" s="42"/>
      <x:c r="E55" s="42"/>
      <x:c r="F55" s="42"/>
      <x:c r="G55" s="42"/>
      <x:c r="H55" s="42"/>
      <x:c r="I55" s="42"/>
      <x:c r="J55" s="36"/>
      <x:c r="K55" s="36"/>
      <x:c r="L55" s="36"/>
      <x:c r="M55" s="36"/>
      <x:c r="N55" s="45"/>
      <x:c r="O55" s="48" t="str">
        <x:f>IF(B55="","",AVERAGE(IFERROR(VLOOKUP(D55,'Справочники'!$A$5:$B$14,2,FALSE),0),IFERROR(VLOOKUP(E55,'Справочники'!$D$5:$E$12,2,FALSE),0),IFERROR(VLOOKUP(F55,'Справочники'!$G$5:$H$12,2,FALSE),0),IFERROR(VLOOKUP(G55,'Справочники'!$J$5:$K$12,2,FALSE),0)))</x:f>
      </x:c>
      <x:c r="P55" s="36"/>
    </x:row>
    <x:row r="56" ht="44" customHeight="1">
      <x:c r="A56" s="39"/>
      <x:c r="B56" s="36"/>
      <x:c r="C56" s="36"/>
      <x:c r="D56" s="42"/>
      <x:c r="E56" s="42"/>
      <x:c r="F56" s="42"/>
      <x:c r="G56" s="42"/>
      <x:c r="H56" s="42"/>
      <x:c r="I56" s="42"/>
      <x:c r="J56" s="36"/>
      <x:c r="K56" s="36"/>
      <x:c r="L56" s="36"/>
      <x:c r="M56" s="36"/>
      <x:c r="N56" s="45"/>
      <x:c r="O56" s="48" t="str">
        <x:f>IF(B56="","",AVERAGE(IFERROR(VLOOKUP(D56,'Справочники'!$A$5:$B$14,2,FALSE),0),IFERROR(VLOOKUP(E56,'Справочники'!$D$5:$E$12,2,FALSE),0),IFERROR(VLOOKUP(F56,'Справочники'!$G$5:$H$12,2,FALSE),0),IFERROR(VLOOKUP(G56,'Справочники'!$J$5:$K$12,2,FALSE),0)))</x:f>
      </x:c>
      <x:c r="P56" s="36"/>
    </x:row>
    <x:row r="57" ht="44" customHeight="1">
      <x:c r="A57" s="39"/>
      <x:c r="B57" s="36"/>
      <x:c r="C57" s="36"/>
      <x:c r="D57" s="42"/>
      <x:c r="E57" s="42"/>
      <x:c r="F57" s="42"/>
      <x:c r="G57" s="42"/>
      <x:c r="H57" s="42"/>
      <x:c r="I57" s="42"/>
      <x:c r="J57" s="36"/>
      <x:c r="K57" s="36"/>
      <x:c r="L57" s="36"/>
      <x:c r="M57" s="36"/>
      <x:c r="N57" s="45"/>
      <x:c r="O57" s="48" t="str">
        <x:f>IF(B57="","",AVERAGE(IFERROR(VLOOKUP(D57,'Справочники'!$A$5:$B$14,2,FALSE),0),IFERROR(VLOOKUP(E57,'Справочники'!$D$5:$E$12,2,FALSE),0),IFERROR(VLOOKUP(F57,'Справочники'!$G$5:$H$12,2,FALSE),0),IFERROR(VLOOKUP(G57,'Справочники'!$J$5:$K$12,2,FALSE),0)))</x:f>
      </x:c>
      <x:c r="P57" s="36"/>
    </x:row>
    <x:row r="58" ht="44" customHeight="1">
      <x:c r="A58" s="39"/>
      <x:c r="B58" s="36"/>
      <x:c r="C58" s="36"/>
      <x:c r="D58" s="42"/>
      <x:c r="E58" s="42"/>
      <x:c r="F58" s="42"/>
      <x:c r="G58" s="42"/>
      <x:c r="H58" s="42"/>
      <x:c r="I58" s="42"/>
      <x:c r="J58" s="36"/>
      <x:c r="K58" s="36"/>
      <x:c r="L58" s="36"/>
      <x:c r="M58" s="36"/>
      <x:c r="N58" s="45"/>
      <x:c r="O58" s="48" t="str">
        <x:f>IF(B58="","",AVERAGE(IFERROR(VLOOKUP(D58,'Справочники'!$A$5:$B$14,2,FALSE),0),IFERROR(VLOOKUP(E58,'Справочники'!$D$5:$E$12,2,FALSE),0),IFERROR(VLOOKUP(F58,'Справочники'!$G$5:$H$12,2,FALSE),0),IFERROR(VLOOKUP(G58,'Справочники'!$J$5:$K$12,2,FALSE),0)))</x:f>
      </x:c>
      <x:c r="P58" s="36"/>
    </x:row>
    <x:row r="59" ht="44" customHeight="1">
      <x:c r="A59" s="39"/>
      <x:c r="B59" s="36"/>
      <x:c r="C59" s="36"/>
      <x:c r="D59" s="42"/>
      <x:c r="E59" s="42"/>
      <x:c r="F59" s="42"/>
      <x:c r="G59" s="42"/>
      <x:c r="H59" s="42"/>
      <x:c r="I59" s="42"/>
      <x:c r="J59" s="36"/>
      <x:c r="K59" s="36"/>
      <x:c r="L59" s="36"/>
      <x:c r="M59" s="36"/>
      <x:c r="N59" s="45"/>
      <x:c r="O59" s="48" t="str">
        <x:f>IF(B59="","",AVERAGE(IFERROR(VLOOKUP(D59,'Справочники'!$A$5:$B$14,2,FALSE),0),IFERROR(VLOOKUP(E59,'Справочники'!$D$5:$E$12,2,FALSE),0),IFERROR(VLOOKUP(F59,'Справочники'!$G$5:$H$12,2,FALSE),0),IFERROR(VLOOKUP(G59,'Справочники'!$J$5:$K$12,2,FALSE),0)))</x:f>
      </x:c>
      <x:c r="P59" s="36"/>
    </x:row>
    <x:row r="60" ht="44" customHeight="1">
      <x:c r="A60" s="39"/>
      <x:c r="B60" s="36"/>
      <x:c r="C60" s="36"/>
      <x:c r="D60" s="42"/>
      <x:c r="E60" s="42"/>
      <x:c r="F60" s="42"/>
      <x:c r="G60" s="42"/>
      <x:c r="H60" s="42"/>
      <x:c r="I60" s="42"/>
      <x:c r="J60" s="36"/>
      <x:c r="K60" s="36"/>
      <x:c r="L60" s="36"/>
      <x:c r="M60" s="36"/>
      <x:c r="N60" s="45"/>
      <x:c r="O60" s="48" t="str">
        <x:f>IF(B60="","",AVERAGE(IFERROR(VLOOKUP(D60,'Справочники'!$A$5:$B$14,2,FALSE),0),IFERROR(VLOOKUP(E60,'Справочники'!$D$5:$E$12,2,FALSE),0),IFERROR(VLOOKUP(F60,'Справочники'!$G$5:$H$12,2,FALSE),0),IFERROR(VLOOKUP(G60,'Справочники'!$J$5:$K$12,2,FALSE),0)))</x:f>
      </x:c>
      <x:c r="P60" s="36"/>
    </x:row>
    <x:row r="61" ht="44" customHeight="1">
      <x:c r="A61" s="39"/>
      <x:c r="B61" s="36"/>
      <x:c r="C61" s="36"/>
      <x:c r="D61" s="42"/>
      <x:c r="E61" s="42"/>
      <x:c r="F61" s="42"/>
      <x:c r="G61" s="42"/>
      <x:c r="H61" s="42"/>
      <x:c r="I61" s="42"/>
      <x:c r="J61" s="36"/>
      <x:c r="K61" s="36"/>
      <x:c r="L61" s="36"/>
      <x:c r="M61" s="36"/>
      <x:c r="N61" s="45"/>
      <x:c r="O61" s="48" t="str">
        <x:f>IF(B61="","",AVERAGE(IFERROR(VLOOKUP(D61,'Справочники'!$A$5:$B$14,2,FALSE),0),IFERROR(VLOOKUP(E61,'Справочники'!$D$5:$E$12,2,FALSE),0),IFERROR(VLOOKUP(F61,'Справочники'!$G$5:$H$12,2,FALSE),0),IFERROR(VLOOKUP(G61,'Справочники'!$J$5:$K$12,2,FALSE),0)))</x:f>
      </x:c>
      <x:c r="P61" s="36"/>
    </x:row>
    <x:row r="62" ht="44" customHeight="1">
      <x:c r="A62" s="39"/>
      <x:c r="B62" s="36"/>
      <x:c r="C62" s="36"/>
      <x:c r="D62" s="42"/>
      <x:c r="E62" s="42"/>
      <x:c r="F62" s="42"/>
      <x:c r="G62" s="42"/>
      <x:c r="H62" s="42"/>
      <x:c r="I62" s="42"/>
      <x:c r="J62" s="36"/>
      <x:c r="K62" s="36"/>
      <x:c r="L62" s="36"/>
      <x:c r="M62" s="36"/>
      <x:c r="N62" s="45"/>
      <x:c r="O62" s="48" t="str">
        <x:f>IF(B62="","",AVERAGE(IFERROR(VLOOKUP(D62,'Справочники'!$A$5:$B$14,2,FALSE),0),IFERROR(VLOOKUP(E62,'Справочники'!$D$5:$E$12,2,FALSE),0),IFERROR(VLOOKUP(F62,'Справочники'!$G$5:$H$12,2,FALSE),0),IFERROR(VLOOKUP(G62,'Справочники'!$J$5:$K$12,2,FALSE),0)))</x:f>
      </x:c>
      <x:c r="P62" s="36"/>
    </x:row>
    <x:row r="63" ht="44" customHeight="1">
      <x:c r="A63" s="39"/>
      <x:c r="B63" s="36"/>
      <x:c r="C63" s="36"/>
      <x:c r="D63" s="42"/>
      <x:c r="E63" s="42"/>
      <x:c r="F63" s="42"/>
      <x:c r="G63" s="42"/>
      <x:c r="H63" s="42"/>
      <x:c r="I63" s="42"/>
      <x:c r="J63" s="36"/>
      <x:c r="K63" s="36"/>
      <x:c r="L63" s="36"/>
      <x:c r="M63" s="36"/>
      <x:c r="N63" s="45"/>
      <x:c r="O63" s="48" t="str">
        <x:f>IF(B63="","",AVERAGE(IFERROR(VLOOKUP(D63,'Справочники'!$A$5:$B$14,2,FALSE),0),IFERROR(VLOOKUP(E63,'Справочники'!$D$5:$E$12,2,FALSE),0),IFERROR(VLOOKUP(F63,'Справочники'!$G$5:$H$12,2,FALSE),0),IFERROR(VLOOKUP(G63,'Справочники'!$J$5:$K$12,2,FALSE),0)))</x:f>
      </x:c>
      <x:c r="P63" s="36"/>
    </x:row>
    <x:row r="64" ht="44" customHeight="1">
      <x:c r="A64" s="39"/>
      <x:c r="B64" s="36"/>
      <x:c r="C64" s="36"/>
      <x:c r="D64" s="42"/>
      <x:c r="E64" s="42"/>
      <x:c r="F64" s="42"/>
      <x:c r="G64" s="42"/>
      <x:c r="H64" s="42"/>
      <x:c r="I64" s="42"/>
      <x:c r="J64" s="36"/>
      <x:c r="K64" s="36"/>
      <x:c r="L64" s="36"/>
      <x:c r="M64" s="36"/>
      <x:c r="N64" s="45"/>
      <x:c r="O64" s="48" t="str">
        <x:f>IF(B64="","",AVERAGE(IFERROR(VLOOKUP(D64,'Справочники'!$A$5:$B$14,2,FALSE),0),IFERROR(VLOOKUP(E64,'Справочники'!$D$5:$E$12,2,FALSE),0),IFERROR(VLOOKUP(F64,'Справочники'!$G$5:$H$12,2,FALSE),0),IFERROR(VLOOKUP(G64,'Справочники'!$J$5:$K$12,2,FALSE),0)))</x:f>
      </x:c>
      <x:c r="P64" s="36"/>
    </x:row>
    <x:row r="65" ht="44" customHeight="1">
      <x:c r="A65" s="39"/>
      <x:c r="B65" s="36"/>
      <x:c r="C65" s="36"/>
      <x:c r="D65" s="42"/>
      <x:c r="E65" s="42"/>
      <x:c r="F65" s="42"/>
      <x:c r="G65" s="42"/>
      <x:c r="H65" s="42"/>
      <x:c r="I65" s="42"/>
      <x:c r="J65" s="36"/>
      <x:c r="K65" s="36"/>
      <x:c r="L65" s="36"/>
      <x:c r="M65" s="36"/>
      <x:c r="N65" s="45"/>
      <x:c r="O65" s="48" t="str">
        <x:f>IF(B65="","",AVERAGE(IFERROR(VLOOKUP(D65,'Справочники'!$A$5:$B$14,2,FALSE),0),IFERROR(VLOOKUP(E65,'Справочники'!$D$5:$E$12,2,FALSE),0),IFERROR(VLOOKUP(F65,'Справочники'!$G$5:$H$12,2,FALSE),0),IFERROR(VLOOKUP(G65,'Справочники'!$J$5:$K$12,2,FALSE),0)))</x:f>
      </x:c>
      <x:c r="P65" s="36"/>
    </x:row>
    <x:row r="66" ht="44" customHeight="1">
      <x:c r="A66" s="39"/>
      <x:c r="B66" s="36"/>
      <x:c r="C66" s="36"/>
      <x:c r="D66" s="42"/>
      <x:c r="E66" s="42"/>
      <x:c r="F66" s="42"/>
      <x:c r="G66" s="42"/>
      <x:c r="H66" s="42"/>
      <x:c r="I66" s="42"/>
      <x:c r="J66" s="36"/>
      <x:c r="K66" s="36"/>
      <x:c r="L66" s="36"/>
      <x:c r="M66" s="36"/>
      <x:c r="N66" s="45"/>
      <x:c r="O66" s="48" t="str">
        <x:f>IF(B66="","",AVERAGE(IFERROR(VLOOKUP(D66,'Справочники'!$A$5:$B$14,2,FALSE),0),IFERROR(VLOOKUP(E66,'Справочники'!$D$5:$E$12,2,FALSE),0),IFERROR(VLOOKUP(F66,'Справочники'!$G$5:$H$12,2,FALSE),0),IFERROR(VLOOKUP(G66,'Справочники'!$J$5:$K$12,2,FALSE),0)))</x:f>
      </x:c>
      <x:c r="P66" s="36"/>
    </x:row>
    <x:row r="67" ht="44" customHeight="1">
      <x:c r="A67" s="39"/>
      <x:c r="B67" s="36"/>
      <x:c r="C67" s="36"/>
      <x:c r="D67" s="42"/>
      <x:c r="E67" s="42"/>
      <x:c r="F67" s="42"/>
      <x:c r="G67" s="42"/>
      <x:c r="H67" s="42"/>
      <x:c r="I67" s="42"/>
      <x:c r="J67" s="36"/>
      <x:c r="K67" s="36"/>
      <x:c r="L67" s="36"/>
      <x:c r="M67" s="36"/>
      <x:c r="N67" s="45"/>
      <x:c r="O67" s="48" t="str">
        <x:f>IF(B67="","",AVERAGE(IFERROR(VLOOKUP(D67,'Справочники'!$A$5:$B$14,2,FALSE),0),IFERROR(VLOOKUP(E67,'Справочники'!$D$5:$E$12,2,FALSE),0),IFERROR(VLOOKUP(F67,'Справочники'!$G$5:$H$12,2,FALSE),0),IFERROR(VLOOKUP(G67,'Справочники'!$J$5:$K$12,2,FALSE),0)))</x:f>
      </x:c>
      <x:c r="P67" s="36"/>
    </x:row>
    <x:row r="68" ht="44" customHeight="1">
      <x:c r="A68" s="39"/>
      <x:c r="B68" s="36"/>
      <x:c r="C68" s="36"/>
      <x:c r="D68" s="42"/>
      <x:c r="E68" s="42"/>
      <x:c r="F68" s="42"/>
      <x:c r="G68" s="42"/>
      <x:c r="H68" s="42"/>
      <x:c r="I68" s="42"/>
      <x:c r="J68" s="36"/>
      <x:c r="K68" s="36"/>
      <x:c r="L68" s="36"/>
      <x:c r="M68" s="36"/>
      <x:c r="N68" s="45"/>
      <x:c r="O68" s="48" t="str">
        <x:f>IF(B68="","",AVERAGE(IFERROR(VLOOKUP(D68,'Справочники'!$A$5:$B$14,2,FALSE),0),IFERROR(VLOOKUP(E68,'Справочники'!$D$5:$E$12,2,FALSE),0),IFERROR(VLOOKUP(F68,'Справочники'!$G$5:$H$12,2,FALSE),0),IFERROR(VLOOKUP(G68,'Справочники'!$J$5:$K$12,2,FALSE),0)))</x:f>
      </x:c>
      <x:c r="P68" s="36"/>
    </x:row>
    <x:row r="69" ht="44" customHeight="1">
      <x:c r="A69" s="39"/>
      <x:c r="B69" s="36"/>
      <x:c r="C69" s="36"/>
      <x:c r="D69" s="42"/>
      <x:c r="E69" s="42"/>
      <x:c r="F69" s="42"/>
      <x:c r="G69" s="42"/>
      <x:c r="H69" s="42"/>
      <x:c r="I69" s="42"/>
      <x:c r="J69" s="36"/>
      <x:c r="K69" s="36"/>
      <x:c r="L69" s="36"/>
      <x:c r="M69" s="36"/>
      <x:c r="N69" s="45"/>
      <x:c r="O69" s="48" t="str">
        <x:f>IF(B69="","",AVERAGE(IFERROR(VLOOKUP(D69,'Справочники'!$A$5:$B$14,2,FALSE),0),IFERROR(VLOOKUP(E69,'Справочники'!$D$5:$E$12,2,FALSE),0),IFERROR(VLOOKUP(F69,'Справочники'!$G$5:$H$12,2,FALSE),0),IFERROR(VLOOKUP(G69,'Справочники'!$J$5:$K$12,2,FALSE),0)))</x:f>
      </x:c>
      <x:c r="P69" s="36"/>
    </x:row>
    <x:row r="70" ht="44" customHeight="1">
      <x:c r="A70" s="39"/>
      <x:c r="B70" s="36"/>
      <x:c r="C70" s="36"/>
      <x:c r="D70" s="42"/>
      <x:c r="E70" s="42"/>
      <x:c r="F70" s="42"/>
      <x:c r="G70" s="42"/>
      <x:c r="H70" s="42"/>
      <x:c r="I70" s="42"/>
      <x:c r="J70" s="36"/>
      <x:c r="K70" s="36"/>
      <x:c r="L70" s="36"/>
      <x:c r="M70" s="36"/>
      <x:c r="N70" s="45"/>
      <x:c r="O70" s="48" t="str">
        <x:f>IF(B70="","",AVERAGE(IFERROR(VLOOKUP(D70,'Справочники'!$A$5:$B$14,2,FALSE),0),IFERROR(VLOOKUP(E70,'Справочники'!$D$5:$E$12,2,FALSE),0),IFERROR(VLOOKUP(F70,'Справочники'!$G$5:$H$12,2,FALSE),0),IFERROR(VLOOKUP(G70,'Справочники'!$J$5:$K$12,2,FALSE),0)))</x:f>
      </x:c>
      <x:c r="P70" s="36"/>
    </x:row>
    <x:row r="71" ht="44" customHeight="1">
      <x:c r="A71" s="39"/>
      <x:c r="B71" s="36"/>
      <x:c r="C71" s="36"/>
      <x:c r="D71" s="42"/>
      <x:c r="E71" s="42"/>
      <x:c r="F71" s="42"/>
      <x:c r="G71" s="42"/>
      <x:c r="H71" s="42"/>
      <x:c r="I71" s="42"/>
      <x:c r="J71" s="36"/>
      <x:c r="K71" s="36"/>
      <x:c r="L71" s="36"/>
      <x:c r="M71" s="36"/>
      <x:c r="N71" s="45"/>
      <x:c r="O71" s="48" t="str">
        <x:f>IF(B71="","",AVERAGE(IFERROR(VLOOKUP(D71,'Справочники'!$A$5:$B$14,2,FALSE),0),IFERROR(VLOOKUP(E71,'Справочники'!$D$5:$E$12,2,FALSE),0),IFERROR(VLOOKUP(F71,'Справочники'!$G$5:$H$12,2,FALSE),0),IFERROR(VLOOKUP(G71,'Справочники'!$J$5:$K$12,2,FALSE),0)))</x:f>
      </x:c>
      <x:c r="P71" s="36"/>
    </x:row>
    <x:row r="72" ht="44" customHeight="1">
      <x:c r="A72" s="39"/>
      <x:c r="B72" s="36"/>
      <x:c r="C72" s="36"/>
      <x:c r="D72" s="42"/>
      <x:c r="E72" s="42"/>
      <x:c r="F72" s="42"/>
      <x:c r="G72" s="42"/>
      <x:c r="H72" s="42"/>
      <x:c r="I72" s="42"/>
      <x:c r="J72" s="36"/>
      <x:c r="K72" s="36"/>
      <x:c r="L72" s="36"/>
      <x:c r="M72" s="36"/>
      <x:c r="N72" s="45"/>
      <x:c r="O72" s="48" t="str">
        <x:f>IF(B72="","",AVERAGE(IFERROR(VLOOKUP(D72,'Справочники'!$A$5:$B$14,2,FALSE),0),IFERROR(VLOOKUP(E72,'Справочники'!$D$5:$E$12,2,FALSE),0),IFERROR(VLOOKUP(F72,'Справочники'!$G$5:$H$12,2,FALSE),0),IFERROR(VLOOKUP(G72,'Справочники'!$J$5:$K$12,2,FALSE),0)))</x:f>
      </x:c>
      <x:c r="P72" s="36"/>
    </x:row>
    <x:row r="73" ht="44" customHeight="1">
      <x:c r="A73" s="39"/>
      <x:c r="B73" s="36"/>
      <x:c r="C73" s="36"/>
      <x:c r="D73" s="42"/>
      <x:c r="E73" s="42"/>
      <x:c r="F73" s="42"/>
      <x:c r="G73" s="42"/>
      <x:c r="H73" s="42"/>
      <x:c r="I73" s="42"/>
      <x:c r="J73" s="36"/>
      <x:c r="K73" s="36"/>
      <x:c r="L73" s="36"/>
      <x:c r="M73" s="36"/>
      <x:c r="N73" s="45"/>
      <x:c r="O73" s="48" t="str">
        <x:f>IF(B73="","",AVERAGE(IFERROR(VLOOKUP(D73,'Справочники'!$A$5:$B$14,2,FALSE),0),IFERROR(VLOOKUP(E73,'Справочники'!$D$5:$E$12,2,FALSE),0),IFERROR(VLOOKUP(F73,'Справочники'!$G$5:$H$12,2,FALSE),0),IFERROR(VLOOKUP(G73,'Справочники'!$J$5:$K$12,2,FALSE),0)))</x:f>
      </x:c>
      <x:c r="P73" s="36"/>
    </x:row>
    <x:row r="74" ht="44" customHeight="1">
      <x:c r="A74" s="39"/>
      <x:c r="B74" s="36"/>
      <x:c r="C74" s="36"/>
      <x:c r="D74" s="42"/>
      <x:c r="E74" s="42"/>
      <x:c r="F74" s="42"/>
      <x:c r="G74" s="42"/>
      <x:c r="H74" s="42"/>
      <x:c r="I74" s="42"/>
      <x:c r="J74" s="36"/>
      <x:c r="K74" s="36"/>
      <x:c r="L74" s="36"/>
      <x:c r="M74" s="36"/>
      <x:c r="N74" s="45"/>
      <x:c r="O74" s="48" t="str">
        <x:f>IF(B74="","",AVERAGE(IFERROR(VLOOKUP(D74,'Справочники'!$A$5:$B$14,2,FALSE),0),IFERROR(VLOOKUP(E74,'Справочники'!$D$5:$E$12,2,FALSE),0),IFERROR(VLOOKUP(F74,'Справочники'!$G$5:$H$12,2,FALSE),0),IFERROR(VLOOKUP(G74,'Справочники'!$J$5:$K$12,2,FALSE),0)))</x:f>
      </x:c>
      <x:c r="P74" s="36"/>
    </x:row>
    <x:row r="75" ht="44" customHeight="1">
      <x:c r="A75" s="40"/>
      <x:c r="B75" s="37"/>
      <x:c r="C75" s="37"/>
      <x:c r="D75" s="43"/>
      <x:c r="E75" s="43"/>
      <x:c r="F75" s="43"/>
      <x:c r="G75" s="43"/>
      <x:c r="H75" s="43"/>
      <x:c r="I75" s="43"/>
      <x:c r="J75" s="37"/>
      <x:c r="K75" s="37"/>
      <x:c r="L75" s="37"/>
      <x:c r="M75" s="37"/>
      <x:c r="N75" s="46"/>
      <x:c r="O75" s="49" t="str">
        <x:f>IF(B75="","",AVERAGE(IFERROR(VLOOKUP(D75,'Справочники'!$A$5:$B$14,2,FALSE),0),IFERROR(VLOOKUP(E75,'Справочники'!$D$5:$E$12,2,FALSE),0),IFERROR(VLOOKUP(F75,'Справочники'!$G$5:$H$12,2,FALSE),0),IFERROR(VLOOKUP(G75,'Справочники'!$J$5:$K$12,2,FALSE),0)))</x:f>
      </x:c>
      <x:c r="P75" s="37"/>
    </x:row>
  </x:sheetData>
  <x:mergeCells>
    <x:mergeCell ref="A1:P1"/>
    <x:mergeCell ref="A2:P2"/>
    <x:mergeCell ref="A3:B3"/>
    <x:mergeCell ref="C3:D3"/>
    <x:mergeCell ref="E3:F3"/>
    <x:mergeCell ref="G3:H3"/>
    <x:mergeCell ref="I3:J3"/>
    <x:mergeCell ref="K3:L3"/>
    <x:mergeCell ref="M3:N3"/>
    <x:mergeCell ref="O3:P3"/>
  </x:mergeCells>
  <x:conditionalFormatting sqref="D6:D75">
    <x:cfRule type="containsText" dxfId="0" priority="1" operator="containsText" text="Готово local/mock"/>
    <x:cfRule type="expression" dxfId="1" priority="2">
      <x:formula>$D6="Готово"</x:formula>
    </x:cfRule>
    <x:cfRule type="containsText" dxfId="2" priority="3" operator="containsText" text="Review"/>
    <x:cfRule type="containsText" dxfId="3" priority="4" operator="containsText" text="Draft"/>
    <x:cfRule type="containsText" dxfId="4" priority="5" operator="containsText" text="Отсутствует"/>
    <x:cfRule type="containsText" dxfId="5" priority="6" operator="containsText" text="В работе"/>
  </x:conditionalFormatting>
  <x:conditionalFormatting sqref="E6:E75">
    <x:cfRule type="containsText" dxfId="6" priority="7" operator="containsText" text="Accepted"/>
    <x:cfRule type="containsText" dxfId="7" priority="8" operator="containsText" text="Canonical"/>
    <x:cfRule type="containsText" dxfId="8" priority="9" operator="containsText" text="Approved"/>
    <x:cfRule type="containsText" dxfId="9" priority="10" operator="containsText" text="Review"/>
    <x:cfRule type="containsText" dxfId="10" priority="11" operator="containsText" text="Draft"/>
    <x:cfRule type="containsText" dxfId="11" priority="12" operator="containsText" text="Отсутствует"/>
  </x:conditionalFormatting>
  <x:conditionalFormatting sqref="F6:F75">
    <x:cfRule type="expression" dxfId="12" priority="13">
      <x:formula>$F6="Production"</x:formula>
    </x:cfRule>
    <x:cfRule type="expression" dxfId="13" priority="14">
      <x:formula>$F6="Local/mock"</x:formula>
    </x:cfRule>
    <x:cfRule type="expression" dxfId="14" priority="15">
      <x:formula>$F6="Pure domain"</x:formula>
    </x:cfRule>
    <x:cfRule type="expression" dxfId="15" priority="16">
      <x:formula>$F6="Отсутствует"</x:formula>
    </x:cfRule>
    <x:cfRule type="expression" dxfId="16" priority="17">
      <x:formula>$F6="Gated"</x:formula>
    </x:cfRule>
  </x:conditionalFormatting>
  <x:conditionalFormatting sqref="G6:G75">
    <x:cfRule type="containsText" dxfId="17" priority="18" operator="containsText" text="Текущие зелёные"/>
    <x:cfRule type="containsText" dxfId="18" priority="19" operator="containsText" text="Исторические зелёные"/>
    <x:cfRule type="containsText" dxfId="19" priority="20" operator="containsText" text="Device pending"/>
    <x:cfRule type="containsText" dxfId="20" priority="21" operator="containsText" text="Не запускались"/>
  </x:conditionalFormatting>
  <x:conditionalFormatting sqref="I6:I75">
    <x:cfRule type="containsText" dxfId="21" priority="22" operator="containsText" text="P0"/>
    <x:cfRule type="containsText" dxfId="22" priority="23" operator="containsText" text="P1"/>
    <x:cfRule type="containsText" dxfId="23" priority="24" operator="containsText" text="P2"/>
  </x:conditionalFormatting>
  <x:conditionalFormatting sqref="O6:O75">
    <x:cfRule type="dataBar" priority="25">
      <x:dataBar>
        <x:cfvo type="min"/>
        <x:cfvo type="max"/>
        <x:color rgb="FF2F6B5C"/>
      </x:dataBar>
      <x:extLst>
        <x:ext xmlns:x14="http://schemas.microsoft.com/office/spreadsheetml/2009/9/main" uri="{B025F937-C7B1-47D3-B67F-A62EFF666E3E}">
          <x14:id>{A0280611-D145-9EE2-E94D-4845AFBA8BEE}</x14:id>
        </x:ext>
      </x:extLst>
    </x:cfRule>
  </x:conditionalFormatting>
  <x:dataValidations count="5">
    <x:dataValidation type="list" sqref="D6:D75">
      <x:formula1>'Справочники'!$A$5:$A$14</x:formula1>
    </x:dataValidation>
    <x:dataValidation type="list" sqref="E6:E75">
      <x:formula1>'Справочники'!$D$5:$D$12</x:formula1>
    </x:dataValidation>
    <x:dataValidation type="list" sqref="F6:F75">
      <x:formula1>'Справочники'!$G$5:$G$12</x:formula1>
    </x:dataValidation>
    <x:dataValidation type="list" sqref="G6:G75">
      <x:formula1>'Справочники'!$J$5:$J$12</x:formula1>
    </x:dataValidation>
    <x:dataValidation type="list" sqref="I6:I75">
      <x:formula1>'Справочники'!$M$5:$M$9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6f1b76834734b9f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5" id="{A0280611-D145-9EE2-E94D-4845AFBA8BEE}">
            <x14:dataBar gradient="1">
              <x14:cfvo type="min"/>
              <x14:cfvo type="max"/>
              <x14:fillColor rgb="FF2F6B5C"/>
            </x14:dataBar>
          </x14:cfRule>
          <xm:sqref>O6:O75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1" hidden="0" customWidth="1"/>
    <x:col min="3" max="3" width="20" hidden="0" customWidth="1"/>
    <x:col min="4" max="4" width="18" hidden="0" customWidth="1"/>
    <x:col min="5" max="5" width="20" hidden="0" customWidth="1"/>
    <x:col min="6" max="6" width="16" hidden="0" customWidth="1"/>
    <x:col min="7" max="7" width="20" hidden="0" customWidth="1"/>
    <x:col min="8" max="8" width="25" hidden="0" customWidth="1"/>
    <x:col min="9" max="9" width="11" hidden="0" customWidth="1"/>
    <x:col min="10" max="10" width="40" hidden="0" customWidth="1"/>
    <x:col min="11" max="11" width="28" hidden="0" customWidth="1"/>
    <x:col min="12" max="12" width="20" hidden="0" customWidth="1"/>
    <x:col min="13" max="13" width="48" hidden="0" customWidth="1"/>
    <x:col min="14" max="14" width="14" hidden="0" customWidth="1"/>
    <x:col min="15" max="15" width="13" hidden="0" customWidth="1"/>
    <x:col min="16" max="16" width="34" hidden="0" customWidth="1"/>
  </x:cols>
  <x:sheetData>
    <x:row r="1" ht="38" customHeight="1">
      <x:c r="A1" s="3" t="str">
        <x:v>CREATE HUB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2" customHeight="1">
      <x:c r="A2" s="7" t="str">
        <x:v>Product layer · Ten accepted Create types plus shared form, draft and publication foundations.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3">
      <x:c r="A3" s="12" t="e">
        <x:f>HYPERLINK("#'Паук'!A1","← Вернуться к пауку")</x:f>
        <x:v>HYPERLINK is not implemented. linkLocation=#'Паук'!A1, friendlyName=← Вернуться к пауку</x:v>
      </x:c>
      <x:c r="B3" s="12"/>
      <x:c r="C3" t="str">
        <x:v>Прогресс</x:v>
      </x:c>
      <x:c r="E3" s="15" t="n">
        <x:f>IFERROR(SUM(O6:O75)/COUNTA(B6:B75),0)</x:f>
        <x:v>0.6641393442622953</x:v>
      </x:c>
      <x:c r="F3" s="15"/>
      <x:c r="G3" t="str">
        <x:v>Открытые P0/P1</x:v>
      </x:c>
      <x:c r="I3" s="18" t="n">
        <x:f>COUNTIFS(I6:I75,"P0",O6:O75,"&lt;1")+COUNTIFS(I6:I75,"P1",O6:O75,"&lt;1")</x:f>
        <x:v>58</x:v>
      </x:c>
      <x:c r="J3" s="18"/>
      <x:c r="K3" t="str">
        <x:v>Runtime отсутствует</x:v>
      </x:c>
      <x:c r="M3" s="21" t="n">
        <x:f>COUNTIF(F6:F75,"Отсутствует")</x:f>
        <x:v>4</x:v>
      </x:c>
      <x:c r="N3" s="21"/>
      <x:c r="O3" s="24" t="e">
        <x:f>HYPERLINK("#'Реестр файлов'!A1","Реестр файлов →")</x:f>
        <x:v>HYPERLINK is not implemented. linkLocation=#'Реестр файлов'!A1, friendlyName=Реестр файлов →</x:v>
      </x:c>
      <x:c r="P3" s="24"/>
    </x:row>
    <x:row r="5">
      <x:c r="A5" s="27" t="str">
        <x:v>ID</x:v>
      </x:c>
      <x:c r="B5" s="27" t="str">
        <x:v>Подсистема / deliverable</x:v>
      </x:c>
      <x:c r="C5" s="27" t="str">
        <x:v>Тип</x:v>
      </x:c>
      <x:c r="D5" s="27" t="str">
        <x:v>Артефакт</x:v>
      </x:c>
      <x:c r="E5" s="27" t="str">
        <x:v>Документация</x:v>
      </x:c>
      <x:c r="F5" s="27" t="str">
        <x:v>Runtime</x:v>
      </x:c>
      <x:c r="G5" s="27" t="str">
        <x:v>Проверки</x:v>
      </x:c>
      <x:c r="H5" s="27" t="str">
        <x:v>Gate / authority</x:v>
      </x:c>
      <x:c r="I5" s="27" t="str">
        <x:v>Приоритет</x:v>
      </x:c>
      <x:c r="J5" s="27" t="str">
        <x:v>Следующее действие</x:v>
      </x:c>
      <x:c r="K5" s="27" t="str">
        <x:v>Блокер</x:v>
      </x:c>
      <x:c r="L5" s="27" t="str">
        <x:v>Owner</x:v>
      </x:c>
      <x:c r="M5" s="27" t="str">
        <x:v>Источник / путь</x:v>
      </x:c>
      <x:c r="N5" s="27" t="str">
        <x:v>Обновлено</x:v>
      </x:c>
      <x:c r="O5" s="27" t="str">
        <x:v>Готовность</x:v>
      </x:c>
      <x:c r="P5" s="27" t="str">
        <x:v>Комментарий</x:v>
      </x:c>
    </x:row>
    <x:row r="6" ht="44" customHeight="1">
      <x:c r="A6" s="38" t="str">
        <x:v>CRT-00</x:v>
      </x:c>
      <x:c r="B6" s="35" t="str">
        <x:v>Shared config-driven form engine</x:v>
      </x:c>
      <x:c r="C6" s="35" t="str">
        <x:v>Create foundation</x:v>
      </x:c>
      <x:c r="D6" s="41" t="str">
        <x:v>Готово local/mock</x:v>
      </x:c>
      <x:c r="E6" s="41" t="str">
        <x:v>Approved</x:v>
      </x:c>
      <x:c r="F6" s="41" t="str">
        <x:v>Local/mock</x:v>
      </x:c>
      <x:c r="G6" s="41" t="str">
        <x:v>Исторические зелёные</x:v>
      </x:c>
      <x:c r="H6" s="41" t="str">
        <x:v>10 accepted types</x:v>
      </x:c>
      <x:c r="I6" s="41" t="str">
        <x:v>P0</x:v>
      </x:c>
      <x:c r="J6" s="35" t="str">
        <x:v>No parallel per-type flows</x:v>
      </x:c>
      <x:c r="K6" s="35" t="str"/>
      <x:c r="L6" s="35" t="str">
        <x:v>Create Platform</x:v>
      </x:c>
      <x:c r="M6" s="35" t="str">
        <x:v>docs/product/VISION.md</x:v>
      </x:c>
      <x:c r="N6" s="44" t="n">
        <x:v>46250</x:v>
      </x:c>
      <x:c r="O6" s="47" t="n">
        <x:f>IF(B6="","",AVERAGE(IFERROR(VLOOKUP(D6,'Справочники'!$A$5:$B$14,2,FALSE),0),IFERROR(VLOOKUP(E6,'Справочники'!$D$5:$E$12,2,FALSE),0),IFERROR(VLOOKUP(F6,'Справочники'!$G$5:$H$12,2,FALSE),0),IFERROR(VLOOKUP(G6,'Справочники'!$J$5:$K$12,2,FALSE),0)))</x:f>
        <x:v>0.7375</x:v>
      </x:c>
      <x:c r="P6" s="35" t="str"/>
    </x:row>
    <x:row r="7" ht="44" customHeight="1">
      <x:c r="A7" s="39" t="str">
        <x:v>CRT-01</x:v>
      </x:c>
      <x:c r="B7" s="36" t="str">
        <x:v>Event</x:v>
      </x:c>
      <x:c r="C7" s="36" t="str">
        <x:v>Create type</x:v>
      </x:c>
      <x:c r="D7" s="42" t="str">
        <x:v>Готово local/mock</x:v>
      </x:c>
      <x:c r="E7" s="42" t="str">
        <x:v>Review</x:v>
      </x:c>
      <x:c r="F7" s="42" t="str">
        <x:v>Local/mock</x:v>
      </x:c>
      <x:c r="G7" s="42" t="str">
        <x:v>Исторические зелёные</x:v>
      </x:c>
      <x:c r="H7" s="42" t="str">
        <x:v>Backend/Identity gated</x:v>
      </x:c>
      <x:c r="I7" s="42" t="str">
        <x:v>P0</x:v>
      </x:c>
      <x:c r="J7" s="36" t="str">
        <x:v>Approve full Event Create and keep ECL boundaries</x:v>
      </x:c>
      <x:c r="K7" s="36" t="str">
        <x:v>EVENT_CREATE_SPEC Review</x:v>
      </x:c>
      <x:c r="L7" s="36" t="str">
        <x:v>Event</x:v>
      </x:c>
      <x:c r="M7" s="36" t="str">
        <x:v>docs/product/EVENT_CREATE_SPEC.md</x:v>
      </x:c>
      <x:c r="N7" s="45" t="n">
        <x:v>46250</x:v>
      </x:c>
      <x:c r="O7" s="48" t="n">
        <x:f>IF(B7="","",AVERAGE(IFERROR(VLOOKUP(D7,'Справочники'!$A$5:$B$14,2,FALSE),0),IFERROR(VLOOKUP(E7,'Справочники'!$D$5:$E$12,2,FALSE),0),IFERROR(VLOOKUP(F7,'Справочники'!$G$5:$H$12,2,FALSE),0),IFERROR(VLOOKUP(G7,'Справочники'!$J$5:$K$12,2,FALSE),0)))</x:f>
        <x:v>0.65</x:v>
      </x:c>
      <x:c r="P7" s="36" t="str"/>
    </x:row>
    <x:row r="8" ht="44" customHeight="1">
      <x:c r="A8" s="39" t="str">
        <x:v>CRT-02</x:v>
      </x:c>
      <x:c r="B8" s="36" t="str">
        <x:v>Recharge Activity</x:v>
      </x:c>
      <x:c r="C8" s="36" t="str">
        <x:v>Create type</x:v>
      </x:c>
      <x:c r="D8" s="42" t="str">
        <x:v>Частично</x:v>
      </x:c>
      <x:c r="E8" s="42" t="str">
        <x:v>Отсутствует</x:v>
      </x:c>
      <x:c r="F8" s="42" t="str">
        <x:v>Local/mock</x:v>
      </x:c>
      <x:c r="G8" s="42" t="str">
        <x:v>Частично</x:v>
      </x:c>
      <x:c r="H8" s="42" t="str">
        <x:v>Dedicated spec required</x:v>
      </x:c>
      <x:c r="I8" s="42" t="str">
        <x:v>P0</x:v>
      </x:c>
      <x:c r="J8" s="36" t="str">
        <x:v>Write full functional/create spec</x:v>
      </x:c>
      <x:c r="K8" s="36" t="str">
        <x:v>Spec missing</x:v>
      </x:c>
      <x:c r="L8" s="36" t="str">
        <x:v>Create</x:v>
      </x:c>
      <x:c r="M8" s="36" t="str">
        <x:v>docs/product/VISION.md</x:v>
      </x:c>
      <x:c r="N8" s="45"/>
      <x:c r="O8" s="48" t="n">
        <x:f>IF(B8="","",AVERAGE(IFERROR(VLOOKUP(D8,'Справочники'!$A$5:$B$14,2,FALSE),0),IFERROR(VLOOKUP(E8,'Справочники'!$D$5:$E$12,2,FALSE),0),IFERROR(VLOOKUP(F8,'Справочники'!$G$5:$H$12,2,FALSE),0),IFERROR(VLOOKUP(G8,'Справочники'!$J$5:$K$12,2,FALSE),0)))</x:f>
        <x:v>0.36250000000000004</x:v>
      </x:c>
      <x:c r="P8" s="36" t="str"/>
    </x:row>
    <x:row r="9" ht="44" customHeight="1">
      <x:c r="A9" s="39" t="str">
        <x:v>CRT-03</x:v>
      </x:c>
      <x:c r="B9" s="36" t="str">
        <x:v>Route</x:v>
      </x:c>
      <x:c r="C9" s="36" t="str">
        <x:v>Create type</x:v>
      </x:c>
      <x:c r="D9" s="42" t="str">
        <x:v>Review</x:v>
      </x:c>
      <x:c r="E9" s="42" t="str">
        <x:v>Approved</x:v>
      </x:c>
      <x:c r="F9" s="42" t="str">
        <x:v>Local/mock</x:v>
      </x:c>
      <x:c r="G9" s="42" t="str">
        <x:v>Device pending</x:v>
      </x:c>
      <x:c r="H9" s="42" t="str">
        <x:v>RTE-08–11</x:v>
      </x:c>
      <x:c r="I9" s="42" t="str">
        <x:v>P0</x:v>
      </x:c>
      <x:c r="J9" s="36" t="str">
        <x:v>Android/iOS device acceptance</x:v>
      </x:c>
      <x:c r="K9" s="36" t="str">
        <x:v>Real devices</x:v>
      </x:c>
      <x:c r="L9" s="36" t="str">
        <x:v>Route</x:v>
      </x:c>
      <x:c r="M9" s="36" t="str">
        <x:v>docs/product/ROUTE_BUILDER_SPEC.md</x:v>
      </x:c>
      <x:c r="N9" s="45" t="n">
        <x:v>46250</x:v>
      </x:c>
      <x:c r="O9" s="48" t="n">
        <x:f>IF(B9="","",AVERAGE(IFERROR(VLOOKUP(D9,'Справочники'!$A$5:$B$14,2,FALSE),0),IFERROR(VLOOKUP(E9,'Справочники'!$D$5:$E$12,2,FALSE),0),IFERROR(VLOOKUP(F9,'Справочники'!$G$5:$H$12,2,FALSE),0),IFERROR(VLOOKUP(G9,'Справочники'!$J$5:$K$12,2,FALSE),0)))</x:f>
        <x:v>0.6250000000000001</x:v>
      </x:c>
      <x:c r="P9" s="36" t="str"/>
    </x:row>
    <x:row r="10" ht="44" customHeight="1">
      <x:c r="A10" s="39" t="str">
        <x:v>CRT-04</x:v>
      </x:c>
      <x:c r="B10" s="36" t="str">
        <x:v>Place / Business</x:v>
      </x:c>
      <x:c r="C10" s="36" t="str">
        <x:v>Create type</x:v>
      </x:c>
      <x:c r="D10" s="42" t="str">
        <x:v>Готово local/mock</x:v>
      </x:c>
      <x:c r="E10" s="42" t="str">
        <x:v>Approved</x:v>
      </x:c>
      <x:c r="F10" s="42" t="str">
        <x:v>Local/mock</x:v>
      </x:c>
      <x:c r="G10" s="42" t="str">
        <x:v>Исторические зелёные</x:v>
      </x:c>
      <x:c r="H10" s="42" t="str">
        <x:v>Media/moderation gated</x:v>
      </x:c>
      <x:c r="I10" s="42" t="str">
        <x:v>P1</x:v>
      </x:c>
      <x:c r="J10" s="36" t="str">
        <x:v>Production projection/media pipeline</x:v>
      </x:c>
      <x:c r="K10" s="36" t="str">
        <x:v>BCK-07/14/22</x:v>
      </x:c>
      <x:c r="L10" s="36" t="str">
        <x:v>Place</x:v>
      </x:c>
      <x:c r="M10" s="36" t="str">
        <x:v>docs/product/PLACE_CREATE_BLOCK_SPEC.md</x:v>
      </x:c>
      <x:c r="N10" s="45" t="n">
        <x:v>46250</x:v>
      </x:c>
      <x:c r="O10" s="48" t="n">
        <x:f>IF(B10="","",AVERAGE(IFERROR(VLOOKUP(D10,'Справочники'!$A$5:$B$14,2,FALSE),0),IFERROR(VLOOKUP(E10,'Справочники'!$D$5:$E$12,2,FALSE),0),IFERROR(VLOOKUP(F10,'Справочники'!$G$5:$H$12,2,FALSE),0),IFERROR(VLOOKUP(G10,'Справочники'!$J$5:$K$12,2,FALSE),0)))</x:f>
        <x:v>0.7375</x:v>
      </x:c>
      <x:c r="P10" s="36" t="str"/>
    </x:row>
    <x:row r="11" ht="44" customHeight="1">
      <x:c r="A11" s="39" t="str">
        <x:v>CRT-05</x:v>
      </x:c>
      <x:c r="B11" s="36" t="str">
        <x:v>Bookable Session</x:v>
      </x:c>
      <x:c r="C11" s="36" t="str">
        <x:v>Create type</x:v>
      </x:c>
      <x:c r="D11" s="42" t="str">
        <x:v>Частично</x:v>
      </x:c>
      <x:c r="E11" s="42" t="str">
        <x:v>Отсутствует</x:v>
      </x:c>
      <x:c r="F11" s="42" t="str">
        <x:v>Local/mock</x:v>
      </x:c>
      <x:c r="G11" s="42" t="str">
        <x:v>Частично</x:v>
      </x:c>
      <x:c r="H11" s="42" t="str">
        <x:v>Booking boundaries required</x:v>
      </x:c>
      <x:c r="I11" s="42" t="str">
        <x:v>P0</x:v>
      </x:c>
      <x:c r="J11" s="36" t="str">
        <x:v>Slots/availability/capacity/booking spec</x:v>
      </x:c>
      <x:c r="K11" s="36" t="str">
        <x:v>Spec missing</x:v>
      </x:c>
      <x:c r="L11" s="36" t="str">
        <x:v>Create/Booking</x:v>
      </x:c>
      <x:c r="M11" s="36" t="str">
        <x:v>docs/product/VISION.md</x:v>
      </x:c>
      <x:c r="N11" s="45"/>
      <x:c r="O11" s="48" t="n">
        <x:f>IF(B11="","",AVERAGE(IFERROR(VLOOKUP(D11,'Справочники'!$A$5:$B$14,2,FALSE),0),IFERROR(VLOOKUP(E11,'Справочники'!$D$5:$E$12,2,FALSE),0),IFERROR(VLOOKUP(F11,'Справочники'!$G$5:$H$12,2,FALSE),0),IFERROR(VLOOKUP(G11,'Справочники'!$J$5:$K$12,2,FALSE),0)))</x:f>
        <x:v>0.36250000000000004</x:v>
      </x:c>
      <x:c r="P11" s="36" t="str"/>
    </x:row>
    <x:row r="12" ht="44" customHeight="1">
      <x:c r="A12" s="39" t="str">
        <x:v>CRT-06</x:v>
      </x:c>
      <x:c r="B12" s="36" t="str">
        <x:v>Scenario</x:v>
      </x:c>
      <x:c r="C12" s="36" t="str">
        <x:v>Create type</x:v>
      </x:c>
      <x:c r="D12" s="42" t="str">
        <x:v>Готово local/mock</x:v>
      </x:c>
      <x:c r="E12" s="42" t="str">
        <x:v>Accepted</x:v>
      </x:c>
      <x:c r="F12" s="42" t="str">
        <x:v>Local/mock</x:v>
      </x:c>
      <x:c r="G12" s="42" t="str">
        <x:v>Исторические зелёные</x:v>
      </x:c>
      <x:c r="H12" s="42" t="str">
        <x:v>Personal only</x:v>
      </x:c>
      <x:c r="I12" s="42" t="str">
        <x:v>P0</x:v>
      </x:c>
      <x:c r="J12" s="36" t="str">
        <x:v>Public/unlisted capabilities/moderation slices</x:v>
      </x:c>
      <x:c r="K12" s="36" t="str">
        <x:v>BCK-10/22</x:v>
      </x:c>
      <x:c r="L12" s="36" t="str">
        <x:v>Scenario</x:v>
      </x:c>
      <x:c r="M12" s="36" t="str">
        <x:v>docs/product/SCENARIO_BUILDER_SPEC.md</x:v>
      </x:c>
      <x:c r="N12" s="45" t="n">
        <x:v>46250</x:v>
      </x:c>
      <x:c r="O12" s="48" t="n">
        <x:f>IF(B12="","",AVERAGE(IFERROR(VLOOKUP(D12,'Справочники'!$A$5:$B$14,2,FALSE),0),IFERROR(VLOOKUP(E12,'Справочники'!$D$5:$E$12,2,FALSE),0),IFERROR(VLOOKUP(F12,'Справочники'!$G$5:$H$12,2,FALSE),0),IFERROR(VLOOKUP(G12,'Справочники'!$J$5:$K$12,2,FALSE),0)))</x:f>
        <x:v>0.7625</x:v>
      </x:c>
      <x:c r="P12" s="36" t="str"/>
    </x:row>
    <x:row r="13" ht="44" customHeight="1">
      <x:c r="A13" s="39" t="str">
        <x:v>CRT-07</x:v>
      </x:c>
      <x:c r="B13" s="36" t="str">
        <x:v>Find People</x:v>
      </x:c>
      <x:c r="C13" s="36" t="str">
        <x:v>Create type</x:v>
      </x:c>
      <x:c r="D13" s="42" t="str">
        <x:v>Готово local/mock</x:v>
      </x:c>
      <x:c r="E13" s="42" t="str">
        <x:v>Approved</x:v>
      </x:c>
      <x:c r="F13" s="42" t="str">
        <x:v>Local/mock</x:v>
      </x:c>
      <x:c r="G13" s="42" t="str">
        <x:v>Исторические зелёные</x:v>
      </x:c>
      <x:c r="H13" s="42" t="str">
        <x:v>Participation backend gated</x:v>
      </x:c>
      <x:c r="I13" s="42" t="str">
        <x:v>P1</x:v>
      </x:c>
      <x:c r="J13" s="36" t="str">
        <x:v>Discover/Join/Report/Conversation slices</x:v>
      </x:c>
      <x:c r="K13" s="36" t="str">
        <x:v>BCK-08/12/22</x:v>
      </x:c>
      <x:c r="L13" s="36" t="str">
        <x:v>Find People</x:v>
      </x:c>
      <x:c r="M13" s="36" t="str">
        <x:v>docs/product/FIND_PEOPLE_CREATE_BLOCK_SPEC.md</x:v>
      </x:c>
      <x:c r="N13" s="45" t="n">
        <x:v>46250</x:v>
      </x:c>
      <x:c r="O13" s="48" t="n">
        <x:f>IF(B13="","",AVERAGE(IFERROR(VLOOKUP(D13,'Справочники'!$A$5:$B$14,2,FALSE),0),IFERROR(VLOOKUP(E13,'Справочники'!$D$5:$E$12,2,FALSE),0),IFERROR(VLOOKUP(F13,'Справочники'!$G$5:$H$12,2,FALSE),0),IFERROR(VLOOKUP(G13,'Справочники'!$J$5:$K$12,2,FALSE),0)))</x:f>
        <x:v>0.7375</x:v>
      </x:c>
      <x:c r="P13" s="36" t="str"/>
    </x:row>
    <x:row r="14" ht="44" customHeight="1">
      <x:c r="A14" s="39" t="str">
        <x:v>CRT-08</x:v>
      </x:c>
      <x:c r="B14" s="36" t="str">
        <x:v>Class / Workshop / Experience</x:v>
      </x:c>
      <x:c r="C14" s="36" t="str">
        <x:v>Create type</x:v>
      </x:c>
      <x:c r="D14" s="42" t="str">
        <x:v>Частично</x:v>
      </x:c>
      <x:c r="E14" s="42" t="str">
        <x:v>Готова к утверждению</x:v>
      </x:c>
      <x:c r="F14" s="42" t="str">
        <x:v>Local/mock</x:v>
      </x:c>
      <x:c r="G14" s="42" t="str">
        <x:v>Частично</x:v>
      </x:c>
      <x:c r="H14" s="42" t="str">
        <x:v>Owner approval</x:v>
      </x:c>
      <x:c r="I14" s="42" t="str">
        <x:v>P0</x:v>
      </x:c>
      <x:c r="J14" s="36" t="str">
        <x:v>Approve spec then bounded implementation</x:v>
      </x:c>
      <x:c r="K14" s="36" t="str">
        <x:v>Product approval</x:v>
      </x:c>
      <x:c r="L14" s="36" t="str">
        <x:v>Create</x:v>
      </x:c>
      <x:c r="M14" s="36" t="str">
        <x:v>docs/product/CLASS_WORKSHOP_EXPERIENCE_CREATE_SPEC.md</x:v>
      </x:c>
      <x:c r="N14" s="45" t="n">
        <x:v>46250</x:v>
      </x:c>
      <x:c r="O14" s="48" t="n">
        <x:f>IF(B14="","",AVERAGE(IFERROR(VLOOKUP(D14,'Справочники'!$A$5:$B$14,2,FALSE),0),IFERROR(VLOOKUP(E14,'Справочники'!$D$5:$E$12,2,FALSE),0),IFERROR(VLOOKUP(F14,'Справочники'!$G$5:$H$12,2,FALSE),0),IFERROR(VLOOKUP(G14,'Справочники'!$J$5:$K$12,2,FALSE),0)))</x:f>
        <x:v>0.55</x:v>
      </x:c>
      <x:c r="P14" s="36" t="str"/>
    </x:row>
    <x:row r="15" ht="44" customHeight="1">
      <x:c r="A15" s="39" t="str">
        <x:v>CRT-09</x:v>
      </x:c>
      <x:c r="B15" s="36" t="str">
        <x:v>Rental / Equipment</x:v>
      </x:c>
      <x:c r="C15" s="36" t="str">
        <x:v>Create type</x:v>
      </x:c>
      <x:c r="D15" s="42" t="str">
        <x:v>Частично</x:v>
      </x:c>
      <x:c r="E15" s="42" t="str">
        <x:v>Отсутствует</x:v>
      </x:c>
      <x:c r="F15" s="42" t="str">
        <x:v>Local/mock</x:v>
      </x:c>
      <x:c r="G15" s="42" t="str">
        <x:v>Частично</x:v>
      </x:c>
      <x:c r="H15" s="42" t="str">
        <x:v>Dedicated spec required</x:v>
      </x:c>
      <x:c r="I15" s="42" t="str">
        <x:v>P0</x:v>
      </x:c>
      <x:c r="J15" s="36" t="str">
        <x:v>Inventory/deposit/handover/return/damage</x:v>
      </x:c>
      <x:c r="K15" s="36" t="str">
        <x:v>Spec missing</x:v>
      </x:c>
      <x:c r="L15" s="36" t="str">
        <x:v>Create</x:v>
      </x:c>
      <x:c r="M15" s="36" t="str">
        <x:v>docs/product/VISION.md</x:v>
      </x:c>
      <x:c r="N15" s="45"/>
      <x:c r="O15" s="48" t="n">
        <x:f>IF(B15="","",AVERAGE(IFERROR(VLOOKUP(D15,'Справочники'!$A$5:$B$14,2,FALSE),0),IFERROR(VLOOKUP(E15,'Справочники'!$D$5:$E$12,2,FALSE),0),IFERROR(VLOOKUP(F15,'Справочники'!$G$5:$H$12,2,FALSE),0),IFERROR(VLOOKUP(G15,'Справочники'!$J$5:$K$12,2,FALSE),0)))</x:f>
        <x:v>0.36250000000000004</x:v>
      </x:c>
      <x:c r="P15" s="36" t="str"/>
    </x:row>
    <x:row r="16" ht="44" customHeight="1">
      <x:c r="A16" s="39" t="str">
        <x:v>CRT-10</x:v>
      </x:c>
      <x:c r="B16" s="36" t="str">
        <x:v>Collection / Guide</x:v>
      </x:c>
      <x:c r="C16" s="36" t="str">
        <x:v>Create type</x:v>
      </x:c>
      <x:c r="D16" s="42" t="str">
        <x:v>Частично</x:v>
      </x:c>
      <x:c r="E16" s="42" t="str">
        <x:v>Отсутствует</x:v>
      </x:c>
      <x:c r="F16" s="42" t="str">
        <x:v>Local/mock</x:v>
      </x:c>
      <x:c r="G16" s="42" t="str">
        <x:v>Частично</x:v>
      </x:c>
      <x:c r="H16" s="42" t="str">
        <x:v>Dedicated spec required</x:v>
      </x:c>
      <x:c r="I16" s="42" t="str">
        <x:v>P0</x:v>
      </x:c>
      <x:c r="J16" s="36" t="str">
        <x:v>Composition/order/ownership/versioning</x:v>
      </x:c>
      <x:c r="K16" s="36" t="str">
        <x:v>Spec missing</x:v>
      </x:c>
      <x:c r="L16" s="36" t="str">
        <x:v>Create</x:v>
      </x:c>
      <x:c r="M16" s="36" t="str">
        <x:v>docs/product/VISION.md</x:v>
      </x:c>
      <x:c r="N16" s="45"/>
      <x:c r="O16" s="48" t="n">
        <x:f>IF(B16="","",AVERAGE(IFERROR(VLOOKUP(D16,'Справочники'!$A$5:$B$14,2,FALSE),0),IFERROR(VLOOKUP(E16,'Справочники'!$D$5:$E$12,2,FALSE),0),IFERROR(VLOOKUP(F16,'Справочники'!$G$5:$H$12,2,FALSE),0),IFERROR(VLOOKUP(G16,'Справочники'!$J$5:$K$12,2,FALSE),0)))</x:f>
        <x:v>0.36250000000000004</x:v>
      </x:c>
      <x:c r="P16" s="36" t="str"/>
    </x:row>
    <x:row r="17" ht="44" customHeight="1">
      <x:c r="A17" s="39" t="str">
        <x:v>CRT-11</x:v>
      </x:c>
      <x:c r="B17" s="36" t="str">
        <x:v>Draft persistence/autosave</x:v>
      </x:c>
      <x:c r="C17" s="36" t="str">
        <x:v>Create foundation</x:v>
      </x:c>
      <x:c r="D17" s="42" t="str">
        <x:v>Готово local/mock</x:v>
      </x:c>
      <x:c r="E17" s="42" t="str">
        <x:v>Approved</x:v>
      </x:c>
      <x:c r="F17" s="42" t="str">
        <x:v>Local/mock</x:v>
      </x:c>
      <x:c r="G17" s="42" t="str">
        <x:v>Исторические зелёные</x:v>
      </x:c>
      <x:c r="H17" s="42" t="str">
        <x:v>Remote import gated</x:v>
      </x:c>
      <x:c r="I17" s="42" t="str">
        <x:v>P1</x:v>
      </x:c>
      <x:c r="J17" s="36" t="str">
        <x:v>BCK-18 import/conflict/rollback</x:v>
      </x:c>
      <x:c r="K17" s="36" t="str">
        <x:v>OD-04</x:v>
      </x:c>
      <x:c r="L17" s="36" t="str">
        <x:v>Create Platform</x:v>
      </x:c>
      <x:c r="M17" s="36" t="str">
        <x:v>apps/mobile/lib/features/create</x:v>
      </x:c>
      <x:c r="N17" s="45" t="n">
        <x:v>46250</x:v>
      </x:c>
      <x:c r="O17" s="48" t="n">
        <x:f>IF(B17="","",AVERAGE(IFERROR(VLOOKUP(D17,'Справочники'!$A$5:$B$14,2,FALSE),0),IFERROR(VLOOKUP(E17,'Справочники'!$D$5:$E$12,2,FALSE),0),IFERROR(VLOOKUP(F17,'Справочники'!$G$5:$H$12,2,FALSE),0),IFERROR(VLOOKUP(G17,'Справочники'!$J$5:$K$12,2,FALSE),0)))</x:f>
        <x:v>0.7375</x:v>
      </x:c>
      <x:c r="P17" s="36" t="str"/>
    </x:row>
    <x:row r="18" ht="44" customHeight="1">
      <x:c r="A18" s="39" t="str">
        <x:v>CRT-12</x:v>
      </x:c>
      <x:c r="B18" s="36" t="str">
        <x:v>Create templates</x:v>
      </x:c>
      <x:c r="C18" s="36" t="str">
        <x:v>Create extension</x:v>
      </x:c>
      <x:c r="D18" s="42" t="str">
        <x:v>Готово local/mock</x:v>
      </x:c>
      <x:c r="E18" s="42" t="str">
        <x:v>Approved</x:v>
      </x:c>
      <x:c r="F18" s="42" t="str">
        <x:v>Local/mock</x:v>
      </x:c>
      <x:c r="G18" s="42" t="str">
        <x:v>Исторические зелёные</x:v>
      </x:c>
      <x:c r="H18" s="42" t="str">
        <x:v>Event-only</x:v>
      </x:c>
      <x:c r="I18" s="42" t="str">
        <x:v>P2</x:v>
      </x:c>
      <x:c r="J18" s="36" t="str">
        <x:v>Extend only per Approved type</x:v>
      </x:c>
      <x:c r="K18" s="36" t="str">
        <x:v>Other type allowlists missing</x:v>
      </x:c>
      <x:c r="L18" s="36" t="str">
        <x:v>Create Platform</x:v>
      </x:c>
      <x:c r="M18" s="36" t="str">
        <x:v>docs/product/CREATE_TEMPLATES_SLICE_SPEC.md</x:v>
      </x:c>
      <x:c r="N18" s="45" t="n">
        <x:v>46250</x:v>
      </x:c>
      <x:c r="O18" s="48" t="n">
        <x:f>IF(B18="","",AVERAGE(IFERROR(VLOOKUP(D18,'Справочники'!$A$5:$B$14,2,FALSE),0),IFERROR(VLOOKUP(E18,'Справочники'!$D$5:$E$12,2,FALSE),0),IFERROR(VLOOKUP(F18,'Справочники'!$G$5:$H$12,2,FALSE),0),IFERROR(VLOOKUP(G18,'Справочники'!$J$5:$K$12,2,FALSE),0)))</x:f>
        <x:v>0.7375</x:v>
      </x:c>
      <x:c r="P18" s="36" t="str"/>
    </x:row>
    <x:row r="19" ht="44" customHeight="1">
      <x:c r="A19" s="39" t="str">
        <x:v>CRT-13</x:v>
      </x:c>
      <x:c r="B19" s="36" t="str">
        <x:v>PublisherRef defaults</x:v>
      </x:c>
      <x:c r="C19" s="36" t="str">
        <x:v>Create authority</x:v>
      </x:c>
      <x:c r="D19" s="42" t="str">
        <x:v>Частично</x:v>
      </x:c>
      <x:c r="E19" s="42" t="str">
        <x:v>Approved</x:v>
      </x:c>
      <x:c r="F19" s="42" t="str">
        <x:v>Local/mock</x:v>
      </x:c>
      <x:c r="G19" s="42" t="str">
        <x:v>Частично</x:v>
      </x:c>
      <x:c r="H19" s="42" t="str">
        <x:v>IDP-04A</x:v>
      </x:c>
      <x:c r="I19" s="42" t="str">
        <x:v>P0</x:v>
      </x:c>
      <x:c r="J19" s="36" t="str">
        <x:v>Cover remaining Create types without rewrite</x:v>
      </x:c>
      <x:c r="K19" s="36" t="str">
        <x:v>Event/Place baseline only</x:v>
      </x:c>
      <x:c r="L19" s="36" t="str">
        <x:v>Identity/Create</x:v>
      </x:c>
      <x:c r="M19" s="36" t="str">
        <x:v>docs/product/IDENTITY_PUBLISHER_SLICE_SPEC.md</x:v>
      </x:c>
      <x:c r="N19" s="45" t="n">
        <x:v>46250</x:v>
      </x:c>
      <x:c r="O19" s="48" t="n">
        <x:f>IF(B19="","",AVERAGE(IFERROR(VLOOKUP(D19,'Справочники'!$A$5:$B$14,2,FALSE),0),IFERROR(VLOOKUP(E19,'Справочники'!$D$5:$E$12,2,FALSE),0),IFERROR(VLOOKUP(F19,'Справочники'!$G$5:$H$12,2,FALSE),0),IFERROR(VLOOKUP(G19,'Справочники'!$J$5:$K$12,2,FALSE),0)))</x:f>
        <x:v>0.5875</x:v>
      </x:c>
      <x:c r="P19" s="36" t="str"/>
    </x:row>
    <x:row r="20" ht="44" customHeight="1">
      <x:c r="A20" s="39" t="str">
        <x:v>CRT-14</x:v>
      </x:c>
      <x:c r="B20" s="36" t="str">
        <x:v>Media upload pipeline</x:v>
      </x:c>
      <x:c r="C20" s="36" t="str">
        <x:v>Create foundation</x:v>
      </x:c>
      <x:c r="D20" s="42" t="str">
        <x:v>План</x:v>
      </x:c>
      <x:c r="E20" s="42" t="str">
        <x:v>Draft</x:v>
      </x:c>
      <x:c r="F20" s="42" t="str">
        <x:v>Отсутствует</x:v>
      </x:c>
      <x:c r="G20" s="42" t="str">
        <x:v>Не запускались</x:v>
      </x:c>
      <x:c r="H20" s="42" t="str">
        <x:v>BCK-14</x:v>
      </x:c>
      <x:c r="I20" s="42" t="str">
        <x:v>P1</x:v>
      </x:c>
      <x:c r="J20" s="36" t="str">
        <x:v>Upload/finalize/rights/deletion</x:v>
      </x:c>
      <x:c r="K20" s="36" t="str">
        <x:v>Backend absent</x:v>
      </x:c>
      <x:c r="L20" s="36" t="str">
        <x:v>Media Platform</x:v>
      </x:c>
      <x:c r="M20" s="36" t="str">
        <x:v>docs/product/RECHARGE_BACKEND_DELIVERY_MAP.md</x:v>
      </x:c>
      <x:c r="N20" s="45"/>
      <x:c r="O20" s="48" t="n">
        <x:f>IF(B20="","",AVERAGE(IFERROR(VLOOKUP(D20,'Справочники'!$A$5:$B$14,2,FALSE),0),IFERROR(VLOOKUP(E20,'Справочники'!$D$5:$E$12,2,FALSE),0),IFERROR(VLOOKUP(F20,'Справочники'!$G$5:$H$12,2,FALSE),0),IFERROR(VLOOKUP(G20,'Справочники'!$J$5:$K$12,2,FALSE),0)))</x:f>
        <x:v>0.0875</x:v>
      </x:c>
      <x:c r="P20" s="36" t="str"/>
    </x:row>
    <x:row r="21" ht="44" customHeight="1">
      <x:c r="A21" s="39" t="str">
        <x:v>CRT-15</x:v>
      </x:c>
      <x:c r="B21" s="36" t="str">
        <x:v>Production publication</x:v>
      </x:c>
      <x:c r="C21" s="36" t="str">
        <x:v>Create authority</x:v>
      </x:c>
      <x:c r="D21" s="42" t="str">
        <x:v>План</x:v>
      </x:c>
      <x:c r="E21" s="42" t="str">
        <x:v>Draft</x:v>
      </x:c>
      <x:c r="F21" s="42" t="str">
        <x:v>Отсутствует</x:v>
      </x:c>
      <x:c r="G21" s="42" t="str">
        <x:v>Не запускались</x:v>
      </x:c>
      <x:c r="H21" s="42" t="str">
        <x:v>BCK-06/07/22</x:v>
      </x:c>
      <x:c r="I21" s="42" t="str">
        <x:v>P0</x:v>
      </x:c>
      <x:c r="J21" s="36" t="str">
        <x:v>Server capability + moderation enforcement</x:v>
      </x:c>
      <x:c r="K21" s="36" t="str">
        <x:v>Backend/Identity</x:v>
      </x:c>
      <x:c r="L21" s="36" t="str">
        <x:v>Content Platform</x:v>
      </x:c>
      <x:c r="M21" s="36" t="str">
        <x:v>docs/product/RECHARGE_BACKEND_DELIVERY_MAP.md</x:v>
      </x:c>
      <x:c r="N21" s="45"/>
      <x:c r="O21" s="48" t="n">
        <x:f>IF(B21="","",AVERAGE(IFERROR(VLOOKUP(D21,'Справочники'!$A$5:$B$14,2,FALSE),0),IFERROR(VLOOKUP(E21,'Справочники'!$D$5:$E$12,2,FALSE),0),IFERROR(VLOOKUP(F21,'Справочники'!$G$5:$H$12,2,FALSE),0),IFERROR(VLOOKUP(G21,'Справочники'!$J$5:$K$12,2,FALSE),0)))</x:f>
        <x:v>0.0875</x:v>
      </x:c>
      <x:c r="P21" s="36" t="str"/>
    </x:row>
    <x:row r="22" ht="44" customHeight="1">
      <x:c r="A22" s="39" t="str">
        <x:v>EVT-CLASS-SPEC-01</x:v>
      </x:c>
      <x:c r="B22" s="36" t="str">
        <x:v>Event Classification v2.2.3</x:v>
      </x:c>
      <x:c r="C22" s="36" t="str">
        <x:v>Canonical product contract</x:v>
      </x:c>
      <x:c r="D22" s="42" t="str">
        <x:v>Готово</x:v>
      </x:c>
      <x:c r="E22" s="42" t="str">
        <x:v>Accepted</x:v>
      </x:c>
      <x:c r="F22" s="42" t="str">
        <x:v>Не требуется</x:v>
      </x:c>
      <x:c r="G22" s="42" t="str">
        <x:v>Исторические зелёные</x:v>
      </x:c>
      <x:c r="H22" s="42" t="str">
        <x:v>Done docs gate</x:v>
      </x:c>
      <x:c r="I22" s="42" t="str">
        <x:v>P0</x:v>
      </x:c>
      <x:c r="J22" s="36" t="str">
        <x:v>Все Event/Booking slices расширяют этот канон</x:v>
      </x:c>
      <x:c r="K22" s="36" t="str"/>
      <x:c r="L22" s="36" t="str">
        <x:v>Event</x:v>
      </x:c>
      <x:c r="M22" s="36" t="str">
        <x:v>docs/product/EVENT_CLASSIFICATION_SPEC.md</x:v>
      </x:c>
      <x:c r="N22" s="45" t="n">
        <x:v>46250.5</x:v>
      </x:c>
      <x:c r="O22" s="48" t="n">
        <x:f>IF(B22="","",AVERAGE(IFERROR(VLOOKUP(D22,'Справочники'!$A$5:$B$14,2,FALSE),0),IFERROR(VLOOKUP(E22,'Справочники'!$D$5:$E$12,2,FALSE),0),IFERROR(VLOOKUP(F22,'Справочники'!$G$5:$H$12,2,FALSE),0),IFERROR(VLOOKUP(G22,'Справочники'!$J$5:$K$12,2,FALSE),0)))</x:f>
        <x:v>0.925</x:v>
      </x:c>
      <x:c r="P22" s="36" t="str"/>
    </x:row>
    <x:row r="23" ht="44" customHeight="1">
      <x:c r="A23" s="39" t="str">
        <x:v>ECL-00</x:v>
      </x:c>
      <x:c r="B23" s="36" t="str">
        <x:v>Event canon reconciliation</x:v>
      </x:c>
      <x:c r="C23" s="36" t="str">
        <x:v>Docs slice</x:v>
      </x:c>
      <x:c r="D23" s="42" t="str">
        <x:v>Готово</x:v>
      </x:c>
      <x:c r="E23" s="42" t="str">
        <x:v>Approved</x:v>
      </x:c>
      <x:c r="F23" s="42" t="str">
        <x:v>Не требуется</x:v>
      </x:c>
      <x:c r="G23" s="42" t="str">
        <x:v>Исторические зелёные</x:v>
      </x:c>
      <x:c r="H23" s="42" t="str">
        <x:v>Done</x:v>
      </x:c>
      <x:c r="I23" s="42" t="str">
        <x:v>P1</x:v>
      </x:c>
      <x:c r="J23" s="36" t="str">
        <x:v>Поддерживать coverage matrix</x:v>
      </x:c>
      <x:c r="K23" s="36" t="str"/>
      <x:c r="L23" s="36" t="str">
        <x:v>Event</x:v>
      </x:c>
      <x:c r="M23" s="36" t="str">
        <x:v>docs/product/EVENT_CLASSIFICATION_ECL_00_RECONCILIATION_SPEC.md</x:v>
      </x:c>
      <x:c r="N23" s="45" t="n">
        <x:v>46250.5</x:v>
      </x:c>
      <x:c r="O23" s="48" t="n">
        <x:f>IF(B23="","",AVERAGE(IFERROR(VLOOKUP(D23,'Справочники'!$A$5:$B$14,2,FALSE),0),IFERROR(VLOOKUP(E23,'Справочники'!$D$5:$E$12,2,FALSE),0),IFERROR(VLOOKUP(F23,'Справочники'!$G$5:$H$12,2,FALSE),0),IFERROR(VLOOKUP(G23,'Справочники'!$J$5:$K$12,2,FALSE),0)))</x:f>
        <x:v>0.8999999999999999</x:v>
      </x:c>
      <x:c r="P23" s="36" t="str"/>
    </x:row>
    <x:row r="24" ht="44" customHeight="1">
      <x:c r="A24" s="39" t="str">
        <x:v>EVT-CRT-01</x:v>
      </x:c>
      <x:c r="B24" s="36" t="str">
        <x:v>Event C0 + schedule-C1</x:v>
      </x:c>
      <x:c r="C24" s="36" t="str">
        <x:v>Create slice</x:v>
      </x:c>
      <x:c r="D24" s="42" t="str">
        <x:v>Готово local/mock</x:v>
      </x:c>
      <x:c r="E24" s="42" t="str">
        <x:v>Approved</x:v>
      </x:c>
      <x:c r="F24" s="42" t="str">
        <x:v>Local/mock</x:v>
      </x:c>
      <x:c r="G24" s="42" t="str">
        <x:v>Исторические зелёные</x:v>
      </x:c>
      <x:c r="H24" s="42" t="str">
        <x:v>Done subset</x:v>
      </x:c>
      <x:c r="I24" s="42" t="str">
        <x:v>P0</x:v>
      </x:c>
      <x:c r="J24" s="36" t="str">
        <x:v>Не считать полным EVENT_CREATE_SPEC</x:v>
      </x:c>
      <x:c r="K24" s="36" t="str">
        <x:v>Full spec Review</x:v>
      </x:c>
      <x:c r="L24" s="36" t="str">
        <x:v>Event</x:v>
      </x:c>
      <x:c r="M24" s="36" t="str">
        <x:v>docs/product/EVENT_CREATE_CORE_SCHEDULE_SLICE_SPEC.md</x:v>
      </x:c>
      <x:c r="N24" s="45" t="n">
        <x:v>46250.5</x:v>
      </x:c>
      <x:c r="O24" s="48" t="n">
        <x:f>IF(B24="","",AVERAGE(IFERROR(VLOOKUP(D24,'Справочники'!$A$5:$B$14,2,FALSE),0),IFERROR(VLOOKUP(E24,'Справочники'!$D$5:$E$12,2,FALSE),0),IFERROR(VLOOKUP(F24,'Справочники'!$G$5:$H$12,2,FALSE),0),IFERROR(VLOOKUP(G24,'Справочники'!$J$5:$K$12,2,FALSE),0)))</x:f>
        <x:v>0.7375</x:v>
      </x:c>
      <x:c r="P24" s="36" t="str"/>
    </x:row>
    <x:row r="25" ht="44" customHeight="1">
      <x:c r="A25" s="39" t="str">
        <x:v>ECL-01</x:v>
      </x:c>
      <x:c r="B25" s="36" t="str">
        <x:v>Event classification foundation</x:v>
      </x:c>
      <x:c r="C25" s="36" t="str">
        <x:v>Create slice</x:v>
      </x:c>
      <x:c r="D25" s="42" t="str">
        <x:v>Готово local/mock</x:v>
      </x:c>
      <x:c r="E25" s="42" t="str">
        <x:v>Approved</x:v>
      </x:c>
      <x:c r="F25" s="42" t="str">
        <x:v>Local/mock</x:v>
      </x:c>
      <x:c r="G25" s="42" t="str">
        <x:v>Исторические зелёные</x:v>
      </x:c>
      <x:c r="H25" s="42" t="str">
        <x:v>Done</x:v>
      </x:c>
      <x:c r="I25" s="42" t="str">
        <x:v>P0</x:v>
      </x:c>
      <x:c r="J25" s="36" t="str">
        <x:v>Сохранять PublisherRef и fail-closed mapping</x:v>
      </x:c>
      <x:c r="K25" s="36" t="str">
        <x:v>Production authority gated</x:v>
      </x:c>
      <x:c r="L25" s="36" t="str">
        <x:v>Event</x:v>
      </x:c>
      <x:c r="M25" s="36" t="str">
        <x:v>docs/product/EVENT_CLASSIFICATION_ECL_01_SLICE_SPEC.md</x:v>
      </x:c>
      <x:c r="N25" s="45" t="n">
        <x:v>46250.5</x:v>
      </x:c>
      <x:c r="O25" s="48" t="n">
        <x:f>IF(B25="","",AVERAGE(IFERROR(VLOOKUP(D25,'Справочники'!$A$5:$B$14,2,FALSE),0),IFERROR(VLOOKUP(E25,'Справочники'!$D$5:$E$12,2,FALSE),0),IFERROR(VLOOKUP(F25,'Справочники'!$G$5:$H$12,2,FALSE),0),IFERROR(VLOOKUP(G25,'Справочники'!$J$5:$K$12,2,FALSE),0)))</x:f>
        <x:v>0.7375</x:v>
      </x:c>
      <x:c r="P25" s="36" t="str"/>
    </x:row>
    <x:row r="26" ht="44" customHeight="1">
      <x:c r="A26" s="39" t="str">
        <x:v>ECL-02</x:v>
      </x:c>
      <x:c r="B26" s="36" t="str">
        <x:v>Admission / inventory configuration</x:v>
      </x:c>
      <x:c r="C26" s="36" t="str">
        <x:v>Create slice</x:v>
      </x:c>
      <x:c r="D26" s="42" t="str">
        <x:v>Готово local/mock</x:v>
      </x:c>
      <x:c r="E26" s="42" t="str">
        <x:v>Approved</x:v>
      </x:c>
      <x:c r="F26" s="42" t="str">
        <x:v>Local/mock</x:v>
      </x:c>
      <x:c r="G26" s="42" t="str">
        <x:v>Исторические зелёные</x:v>
      </x:c>
      <x:c r="H26" s="42" t="str">
        <x:v>Done</x:v>
      </x:c>
      <x:c r="I26" s="42" t="str">
        <x:v>P0</x:v>
      </x:c>
      <x:c r="J26" s="36" t="str">
        <x:v>Не выдавать snapshot за authoritative availability</x:v>
      </x:c>
      <x:c r="K26" s="36" t="str">
        <x:v>Backend отсутствует</x:v>
      </x:c>
      <x:c r="L26" s="36" t="str">
        <x:v>Event</x:v>
      </x:c>
      <x:c r="M26" s="36" t="str">
        <x:v>docs/product/EVENT_CLASSIFICATION_ECL_02_SLICE_SPEC.md</x:v>
      </x:c>
      <x:c r="N26" s="45" t="n">
        <x:v>46250.5</x:v>
      </x:c>
      <x:c r="O26" s="48" t="n">
        <x:f>IF(B26="","",AVERAGE(IFERROR(VLOOKUP(D26,'Справочники'!$A$5:$B$14,2,FALSE),0),IFERROR(VLOOKUP(E26,'Справочники'!$D$5:$E$12,2,FALSE),0),IFERROR(VLOOKUP(F26,'Справочники'!$G$5:$H$12,2,FALSE),0),IFERROR(VLOOKUP(G26,'Справочники'!$J$5:$K$12,2,FALSE),0)))</x:f>
        <x:v>0.7375</x:v>
      </x:c>
      <x:c r="P26" s="36" t="str"/>
    </x:row>
    <x:row r="27" ht="44" customHeight="1">
      <x:c r="A27" s="39" t="str">
        <x:v>FP-CRT-FIND-01</x:v>
      </x:c>
      <x:c r="B27" s="36" t="str">
        <x:v>Find People Create</x:v>
      </x:c>
      <x:c r="C27" s="36" t="str">
        <x:v>Create slice</x:v>
      </x:c>
      <x:c r="D27" s="42" t="str">
        <x:v>Готово local/mock</x:v>
      </x:c>
      <x:c r="E27" s="42" t="str">
        <x:v>Approved</x:v>
      </x:c>
      <x:c r="F27" s="42" t="str">
        <x:v>Local/mock</x:v>
      </x:c>
      <x:c r="G27" s="42" t="str">
        <x:v>Исторические зелёные</x:v>
      </x:c>
      <x:c r="H27" s="42" t="str">
        <x:v>Done create subset</x:v>
      </x:c>
      <x:c r="I27" s="42" t="str">
        <x:v>P1</x:v>
      </x:c>
      <x:c r="J27" s="36" t="str">
        <x:v>Participation/communication отдельно</x:v>
      </x:c>
      <x:c r="K27" s="36" t="str">
        <x:v>Post-create slices absent</x:v>
      </x:c>
      <x:c r="L27" s="36" t="str">
        <x:v>Find People</x:v>
      </x:c>
      <x:c r="M27" s="36" t="str">
        <x:v>docs/product/FIND_PEOPLE_CREATE_BLOCK_SPEC.md</x:v>
      </x:c>
      <x:c r="N27" s="45" t="n">
        <x:v>46250.5</x:v>
      </x:c>
      <x:c r="O27" s="48" t="n">
        <x:f>IF(B27="","",AVERAGE(IFERROR(VLOOKUP(D27,'Справочники'!$A$5:$B$14,2,FALSE),0),IFERROR(VLOOKUP(E27,'Справочники'!$D$5:$E$12,2,FALSE),0),IFERROR(VLOOKUP(F27,'Справочники'!$G$5:$H$12,2,FALSE),0),IFERROR(VLOOKUP(G27,'Справочники'!$J$5:$K$12,2,FALSE),0)))</x:f>
        <x:v>0.7375</x:v>
      </x:c>
      <x:c r="P27" s="36" t="str"/>
    </x:row>
    <x:row r="28" ht="44" customHeight="1">
      <x:c r="A28" s="39" t="str">
        <x:v>PLACE-CREATE-MVP-01</x:v>
      </x:c>
      <x:c r="B28" s="36" t="str">
        <x:v>Place Create baseline</x:v>
      </x:c>
      <x:c r="C28" s="36" t="str">
        <x:v>Create slice</x:v>
      </x:c>
      <x:c r="D28" s="42" t="str">
        <x:v>Готово local/mock</x:v>
      </x:c>
      <x:c r="E28" s="42" t="str">
        <x:v>Approved</x:v>
      </x:c>
      <x:c r="F28" s="42" t="str">
        <x:v>Local/mock</x:v>
      </x:c>
      <x:c r="G28" s="42" t="str">
        <x:v>Исторические зелёные</x:v>
      </x:c>
      <x:c r="H28" s="42" t="str">
        <x:v>Done</x:v>
      </x:c>
      <x:c r="I28" s="42" t="str">
        <x:v>P1</x:v>
      </x:c>
      <x:c r="J28" s="36" t="str">
        <x:v>Production media/publication позже</x:v>
      </x:c>
      <x:c r="K28" s="36" t="str">
        <x:v>BCK-07/14/22</x:v>
      </x:c>
      <x:c r="L28" s="36" t="str">
        <x:v>Place</x:v>
      </x:c>
      <x:c r="M28" s="36" t="str">
        <x:v>docs/product/PLACE_CREATE_BLOCK_SPEC.md</x:v>
      </x:c>
      <x:c r="N28" s="45" t="n">
        <x:v>46250.5</x:v>
      </x:c>
      <x:c r="O28" s="48" t="n">
        <x:f>IF(B28="","",AVERAGE(IFERROR(VLOOKUP(D28,'Справочники'!$A$5:$B$14,2,FALSE),0),IFERROR(VLOOKUP(E28,'Справочники'!$D$5:$E$12,2,FALSE),0),IFERROR(VLOOKUP(F28,'Справочники'!$G$5:$H$12,2,FALSE),0),IFERROR(VLOOKUP(G28,'Справочники'!$J$5:$K$12,2,FALSE),0)))</x:f>
        <x:v>0.7375</x:v>
      </x:c>
      <x:c r="P28" s="36" t="str"/>
    </x:row>
    <x:row r="29" ht="44" customHeight="1">
      <x:c r="A29" s="39" t="str">
        <x:v>PLC-ADP-01</x:v>
      </x:c>
      <x:c r="B29" s="36" t="str">
        <x:v>Adaptive Place Create</x:v>
      </x:c>
      <x:c r="C29" s="36" t="str">
        <x:v>Create slice</x:v>
      </x:c>
      <x:c r="D29" s="42" t="str">
        <x:v>Готово local/mock</x:v>
      </x:c>
      <x:c r="E29" s="42" t="str">
        <x:v>Approved</x:v>
      </x:c>
      <x:c r="F29" s="42" t="str">
        <x:v>Local/mock</x:v>
      </x:c>
      <x:c r="G29" s="42" t="str">
        <x:v>Исторические зелёные</x:v>
      </x:c>
      <x:c r="H29" s="42" t="str">
        <x:v>Done</x:v>
      </x:c>
      <x:c r="I29" s="42" t="str">
        <x:v>P1</x:v>
      </x:c>
      <x:c r="J29" s="36" t="str">
        <x:v>Сохранять explicit local-demo assist</x:v>
      </x:c>
      <x:c r="K29" s="36" t="str">
        <x:v>No automatic publish</x:v>
      </x:c>
      <x:c r="L29" s="36" t="str">
        <x:v>Place</x:v>
      </x:c>
      <x:c r="M29" s="36" t="str">
        <x:v>docs/product/PLACE_ADAPTIVE_CREATE_AI_SLICE_SPEC.md</x:v>
      </x:c>
      <x:c r="N29" s="45" t="n">
        <x:v>46250.5</x:v>
      </x:c>
      <x:c r="O29" s="48" t="n">
        <x:f>IF(B29="","",AVERAGE(IFERROR(VLOOKUP(D29,'Справочники'!$A$5:$B$14,2,FALSE),0),IFERROR(VLOOKUP(E29,'Справочники'!$D$5:$E$12,2,FALSE),0),IFERROR(VLOOKUP(F29,'Справочники'!$G$5:$H$12,2,FALSE),0),IFERROR(VLOOKUP(G29,'Справочники'!$J$5:$K$12,2,FALSE),0)))</x:f>
        <x:v>0.7375</x:v>
      </x:c>
      <x:c r="P29" s="36" t="str"/>
    </x:row>
    <x:row r="30" ht="44" customHeight="1">
      <x:c r="A30" s="39" t="str">
        <x:v>CRT-TPL-01</x:v>
      </x:c>
      <x:c r="B30" s="36" t="str">
        <x:v>Event templates</x:v>
      </x:c>
      <x:c r="C30" s="36" t="str">
        <x:v>Create slice</x:v>
      </x:c>
      <x:c r="D30" s="42" t="str">
        <x:v>Готово local/mock</x:v>
      </x:c>
      <x:c r="E30" s="42" t="str">
        <x:v>Approved</x:v>
      </x:c>
      <x:c r="F30" s="42" t="str">
        <x:v>Local/mock</x:v>
      </x:c>
      <x:c r="G30" s="42" t="str">
        <x:v>Исторические зелёные</x:v>
      </x:c>
      <x:c r="H30" s="42" t="str">
        <x:v>Done Event-only</x:v>
      </x:c>
      <x:c r="I30" s="42" t="str">
        <x:v>P2</x:v>
      </x:c>
      <x:c r="J30" s="36" t="str">
        <x:v>Другие типы только по Approved extension</x:v>
      </x:c>
      <x:c r="K30" s="36" t="str">
        <x:v>Allowlist других типов отсутствует</x:v>
      </x:c>
      <x:c r="L30" s="36" t="str">
        <x:v>Create Platform</x:v>
      </x:c>
      <x:c r="M30" s="36" t="str">
        <x:v>docs/product/CREATE_TEMPLATES_SLICE_SPEC.md</x:v>
      </x:c>
      <x:c r="N30" s="45" t="n">
        <x:v>46250.5</x:v>
      </x:c>
      <x:c r="O30" s="48" t="n">
        <x:f>IF(B30="","",AVERAGE(IFERROR(VLOOKUP(D30,'Справочники'!$A$5:$B$14,2,FALSE),0),IFERROR(VLOOKUP(E30,'Справочники'!$D$5:$E$12,2,FALSE),0),IFERROR(VLOOKUP(F30,'Справочники'!$G$5:$H$12,2,FALSE),0),IFERROR(VLOOKUP(G30,'Справочники'!$J$5:$K$12,2,FALSE),0)))</x:f>
        <x:v>0.7375</x:v>
      </x:c>
      <x:c r="P30" s="36" t="str"/>
    </x:row>
    <x:row r="31" ht="44" customHeight="1">
      <x:c r="A31" s="39" t="str">
        <x:v>SCN-SB-00</x:v>
      </x:c>
      <x:c r="B31" s="36" t="str">
        <x:v>Scenario foundation</x:v>
      </x:c>
      <x:c r="C31" s="36" t="str">
        <x:v>Scenario slice</x:v>
      </x:c>
      <x:c r="D31" s="42" t="str">
        <x:v>Готово local/mock</x:v>
      </x:c>
      <x:c r="E31" s="42" t="str">
        <x:v>Approved</x:v>
      </x:c>
      <x:c r="F31" s="42" t="str">
        <x:v>Local/mock</x:v>
      </x:c>
      <x:c r="G31" s="42" t="str">
        <x:v>Исторические зелёные</x:v>
      </x:c>
      <x:c r="H31" s="42" t="str">
        <x:v>Done</x:v>
      </x:c>
      <x:c r="I31" s="42" t="str">
        <x:v>P0</x:v>
      </x:c>
      <x:c r="J31" s="36" t="str">
        <x:v>Поддерживать canonical Scenario v2</x:v>
      </x:c>
      <x:c r="K31" s="36" t="str"/>
      <x:c r="L31" s="36" t="str">
        <x:v>Scenario</x:v>
      </x:c>
      <x:c r="M31" s="36" t="str">
        <x:v>docs/architecture/LAUNCH_STATUS.md</x:v>
      </x:c>
      <x:c r="N31" s="45" t="n">
        <x:v>46250.5</x:v>
      </x:c>
      <x:c r="O31" s="48" t="n">
        <x:f>IF(B31="","",AVERAGE(IFERROR(VLOOKUP(D31,'Справочники'!$A$5:$B$14,2,FALSE),0),IFERROR(VLOOKUP(E31,'Справочники'!$D$5:$E$12,2,FALSE),0),IFERROR(VLOOKUP(F31,'Справочники'!$G$5:$H$12,2,FALSE),0),IFERROR(VLOOKUP(G31,'Справочники'!$J$5:$K$12,2,FALSE),0)))</x:f>
        <x:v>0.7375</x:v>
      </x:c>
      <x:c r="P31" s="36" t="str"/>
    </x:row>
    <x:row r="32" ht="44" customHeight="1">
      <x:c r="A32" s="39" t="str">
        <x:v>SCN-SB-01</x:v>
      </x:c>
      <x:c r="B32" s="36" t="str">
        <x:v>Scenario composer</x:v>
      </x:c>
      <x:c r="C32" s="36" t="str">
        <x:v>Scenario slice</x:v>
      </x:c>
      <x:c r="D32" s="42" t="str">
        <x:v>Готово local/mock</x:v>
      </x:c>
      <x:c r="E32" s="42" t="str">
        <x:v>Approved</x:v>
      </x:c>
      <x:c r="F32" s="42" t="str">
        <x:v>Local/mock</x:v>
      </x:c>
      <x:c r="G32" s="42" t="str">
        <x:v>Исторические зелёные</x:v>
      </x:c>
      <x:c r="H32" s="42" t="str">
        <x:v>Done</x:v>
      </x:c>
      <x:c r="I32" s="42" t="str">
        <x:v>P0</x:v>
      </x:c>
      <x:c r="J32" s="36" t="str">
        <x:v>Поддерживать canonical Scenario v2</x:v>
      </x:c>
      <x:c r="K32" s="36" t="str"/>
      <x:c r="L32" s="36" t="str">
        <x:v>Scenario</x:v>
      </x:c>
      <x:c r="M32" s="36" t="str">
        <x:v>docs/architecture/LAUNCH_STATUS.md</x:v>
      </x:c>
      <x:c r="N32" s="45" t="n">
        <x:v>46250.5</x:v>
      </x:c>
      <x:c r="O32" s="48" t="n">
        <x:f>IF(B32="","",AVERAGE(IFERROR(VLOOKUP(D32,'Справочники'!$A$5:$B$14,2,FALSE),0),IFERROR(VLOOKUP(E32,'Справочники'!$D$5:$E$12,2,FALSE),0),IFERROR(VLOOKUP(F32,'Справочники'!$G$5:$H$12,2,FALSE),0),IFERROR(VLOOKUP(G32,'Справочники'!$J$5:$K$12,2,FALSE),0)))</x:f>
        <x:v>0.7375</x:v>
      </x:c>
      <x:c r="P32" s="36" t="str"/>
    </x:row>
    <x:row r="33" ht="44" customHeight="1">
      <x:c r="A33" s="39" t="str">
        <x:v>SCN-SB-02</x:v>
      </x:c>
      <x:c r="B33" s="36" t="str">
        <x:v>Scenario logistics</x:v>
      </x:c>
      <x:c r="C33" s="36" t="str">
        <x:v>Scenario slice</x:v>
      </x:c>
      <x:c r="D33" s="42" t="str">
        <x:v>Готово local/mock</x:v>
      </x:c>
      <x:c r="E33" s="42" t="str">
        <x:v>Approved</x:v>
      </x:c>
      <x:c r="F33" s="42" t="str">
        <x:v>Local/mock</x:v>
      </x:c>
      <x:c r="G33" s="42" t="str">
        <x:v>Исторические зелёные</x:v>
      </x:c>
      <x:c r="H33" s="42" t="str">
        <x:v>Done</x:v>
      </x:c>
      <x:c r="I33" s="42" t="str">
        <x:v>P0</x:v>
      </x:c>
      <x:c r="J33" s="36" t="str">
        <x:v>Поддерживать canonical Scenario v2</x:v>
      </x:c>
      <x:c r="K33" s="36" t="str"/>
      <x:c r="L33" s="36" t="str">
        <x:v>Scenario</x:v>
      </x:c>
      <x:c r="M33" s="36" t="str">
        <x:v>docs/architecture/LAUNCH_STATUS.md</x:v>
      </x:c>
      <x:c r="N33" s="45" t="n">
        <x:v>46250.5</x:v>
      </x:c>
      <x:c r="O33" s="48" t="n">
        <x:f>IF(B33="","",AVERAGE(IFERROR(VLOOKUP(D33,'Справочники'!$A$5:$B$14,2,FALSE),0),IFERROR(VLOOKUP(E33,'Справочники'!$D$5:$E$12,2,FALSE),0),IFERROR(VLOOKUP(F33,'Справочники'!$G$5:$H$12,2,FALSE),0),IFERROR(VLOOKUP(G33,'Справочники'!$J$5:$K$12,2,FALSE),0)))</x:f>
        <x:v>0.7375</x:v>
      </x:c>
      <x:c r="P33" s="36" t="str"/>
    </x:row>
    <x:row r="34" ht="44" customHeight="1">
      <x:c r="A34" s="39" t="str">
        <x:v>SCN-SB-03</x:v>
      </x:c>
      <x:c r="B34" s="36" t="str">
        <x:v>Quick Plan expand</x:v>
      </x:c>
      <x:c r="C34" s="36" t="str">
        <x:v>Scenario slice</x:v>
      </x:c>
      <x:c r="D34" s="42" t="str">
        <x:v>Готово local/mock</x:v>
      </x:c>
      <x:c r="E34" s="42" t="str">
        <x:v>Approved</x:v>
      </x:c>
      <x:c r="F34" s="42" t="str">
        <x:v>Local/mock</x:v>
      </x:c>
      <x:c r="G34" s="42" t="str">
        <x:v>Исторические зелёные</x:v>
      </x:c>
      <x:c r="H34" s="42" t="str">
        <x:v>Done</x:v>
      </x:c>
      <x:c r="I34" s="42" t="str">
        <x:v>P0</x:v>
      </x:c>
      <x:c r="J34" s="36" t="str">
        <x:v>Поддерживать canonical Scenario v2</x:v>
      </x:c>
      <x:c r="K34" s="36" t="str"/>
      <x:c r="L34" s="36" t="str">
        <x:v>Scenario</x:v>
      </x:c>
      <x:c r="M34" s="36" t="str">
        <x:v>docs/architecture/LAUNCH_STATUS.md</x:v>
      </x:c>
      <x:c r="N34" s="45" t="n">
        <x:v>46250.5</x:v>
      </x:c>
      <x:c r="O34" s="48" t="n">
        <x:f>IF(B34="","",AVERAGE(IFERROR(VLOOKUP(D34,'Справочники'!$A$5:$B$14,2,FALSE),0),IFERROR(VLOOKUP(E34,'Справочники'!$D$5:$E$12,2,FALSE),0),IFERROR(VLOOKUP(F34,'Справочники'!$G$5:$H$12,2,FALSE),0),IFERROR(VLOOKUP(G34,'Справочники'!$J$5:$K$12,2,FALSE),0)))</x:f>
        <x:v>0.7375</x:v>
      </x:c>
      <x:c r="P34" s="36" t="str"/>
    </x:row>
    <x:row r="35" ht="44" customHeight="1">
      <x:c r="A35" s="39" t="str">
        <x:v>SCN-SB-04</x:v>
      </x:c>
      <x:c r="B35" s="36" t="str">
        <x:v>Scenario completion gate</x:v>
      </x:c>
      <x:c r="C35" s="36" t="str">
        <x:v>Scenario slice</x:v>
      </x:c>
      <x:c r="D35" s="42" t="str">
        <x:v>Review</x:v>
      </x:c>
      <x:c r="E35" s="42" t="str">
        <x:v>Approved</x:v>
      </x:c>
      <x:c r="F35" s="42" t="str">
        <x:v>Local/mock</x:v>
      </x:c>
      <x:c r="G35" s="42" t="str">
        <x:v>Исторические зелёные</x:v>
      </x:c>
      <x:c r="H35" s="42" t="str">
        <x:v>Review</x:v>
      </x:c>
      <x:c r="I35" s="42" t="str">
        <x:v>P0</x:v>
      </x:c>
      <x:c r="J35" s="36" t="str">
        <x:v>Закрыть remaining review/gate evidence</x:v>
      </x:c>
      <x:c r="K35" s="36" t="str">
        <x:v>Final acceptance</x:v>
      </x:c>
      <x:c r="L35" s="36" t="str">
        <x:v>Scenario</x:v>
      </x:c>
      <x:c r="M35" s="36" t="str">
        <x:v>docs/architecture/LAUNCH_STATUS.md</x:v>
      </x:c>
      <x:c r="N35" s="45" t="n">
        <x:v>46250.5</x:v>
      </x:c>
      <x:c r="O35" s="48" t="n">
        <x:f>IF(B35="","",AVERAGE(IFERROR(VLOOKUP(D35,'Справочники'!$A$5:$B$14,2,FALSE),0),IFERROR(VLOOKUP(E35,'Справочники'!$D$5:$E$12,2,FALSE),0),IFERROR(VLOOKUP(F35,'Справочники'!$G$5:$H$12,2,FALSE),0),IFERROR(VLOOKUP(G35,'Справочники'!$J$5:$K$12,2,FALSE),0)))</x:f>
        <x:v>0.7125000000000001</x:v>
      </x:c>
      <x:c r="P35" s="36" t="str"/>
    </x:row>
    <x:row r="36" ht="44" customHeight="1">
      <x:c r="A36" s="39" t="str">
        <x:v>SCN-FUEL-CLEANUP-01</x:v>
      </x:c>
      <x:c r="B36" s="36" t="str">
        <x:v>Fuel calculation removal</x:v>
      </x:c>
      <x:c r="C36" s="36" t="str">
        <x:v>Scenario cleanup</x:v>
      </x:c>
      <x:c r="D36" s="42" t="str">
        <x:v>Готово local/mock</x:v>
      </x:c>
      <x:c r="E36" s="42" t="str">
        <x:v>Approved</x:v>
      </x:c>
      <x:c r="F36" s="42" t="str">
        <x:v>Local/mock</x:v>
      </x:c>
      <x:c r="G36" s="42" t="str">
        <x:v>Исторические зелёные</x:v>
      </x:c>
      <x:c r="H36" s="42" t="str">
        <x:v>Done</x:v>
      </x:c>
      <x:c r="I36" s="42" t="str">
        <x:v>P1</x:v>
      </x:c>
      <x:c r="J36" s="36" t="str">
        <x:v>Не возвращать fuel fields/calculations</x:v>
      </x:c>
      <x:c r="K36" s="36" t="str"/>
      <x:c r="L36" s="36" t="str">
        <x:v>Scenario</x:v>
      </x:c>
      <x:c r="M36" s="36" t="str">
        <x:v>docs/product/SCENARIO_FUEL_CLEANUP_SLICE_SPEC.md</x:v>
      </x:c>
      <x:c r="N36" s="45" t="n">
        <x:v>46250.5</x:v>
      </x:c>
      <x:c r="O36" s="48" t="n">
        <x:f>IF(B36="","",AVERAGE(IFERROR(VLOOKUP(D36,'Справочники'!$A$5:$B$14,2,FALSE),0),IFERROR(VLOOKUP(E36,'Справочники'!$D$5:$E$12,2,FALSE),0),IFERROR(VLOOKUP(F36,'Справочники'!$G$5:$H$12,2,FALSE),0),IFERROR(VLOOKUP(G36,'Справочники'!$J$5:$K$12,2,FALSE),0)))</x:f>
        <x:v>0.7375</x:v>
      </x:c>
      <x:c r="P36" s="36" t="str"/>
    </x:row>
    <x:row r="37" ht="44" customHeight="1">
      <x:c r="A37" s="39" t="str">
        <x:v>SCN-LV-DATA-01</x:v>
      </x:c>
      <x:c r="B37" s="36" t="str">
        <x:v>Latvia static GTFS foundation</x:v>
      </x:c>
      <x:c r="C37" s="36" t="str">
        <x:v>Scenario data slice</x:v>
      </x:c>
      <x:c r="D37" s="42" t="str">
        <x:v>Готово local/mock</x:v>
      </x:c>
      <x:c r="E37" s="42" t="str">
        <x:v>Approved</x:v>
      </x:c>
      <x:c r="F37" s="42" t="str">
        <x:v>Local/mock</x:v>
      </x:c>
      <x:c r="G37" s="42" t="str">
        <x:v>Исторические зелёные</x:v>
      </x:c>
      <x:c r="H37" s="42" t="str">
        <x:v>Done</x:v>
      </x:c>
      <x:c r="I37" s="42" t="str">
        <x:v>P0</x:v>
      </x:c>
      <x:c r="J37" s="36" t="str">
        <x:v>Keep static/not-live disclosure</x:v>
      </x:c>
      <x:c r="K37" s="36" t="str">
        <x:v>Realtime gated</x:v>
      </x:c>
      <x:c r="L37" s="36" t="str">
        <x:v>Scenario Transit</x:v>
      </x:c>
      <x:c r="M37" s="36" t="str">
        <x:v>docs/product/SCENARIO_LATVIA_GTFS_DATA_SLICE_SPEC.md</x:v>
      </x:c>
      <x:c r="N37" s="45" t="n">
        <x:v>46250.5</x:v>
      </x:c>
      <x:c r="O37" s="48" t="n">
        <x:f>IF(B37="","",AVERAGE(IFERROR(VLOOKUP(D37,'Справочники'!$A$5:$B$14,2,FALSE),0),IFERROR(VLOOKUP(E37,'Справочники'!$D$5:$E$12,2,FALSE),0),IFERROR(VLOOKUP(F37,'Справочники'!$G$5:$H$12,2,FALSE),0),IFERROR(VLOOKUP(G37,'Справочники'!$J$5:$K$12,2,FALSE),0)))</x:f>
        <x:v>0.7375</x:v>
      </x:c>
      <x:c r="P37" s="36" t="str"/>
    </x:row>
    <x:row r="38" ht="44" customHeight="1">
      <x:c r="A38" s="39" t="str">
        <x:v>SCN-LV-DATA-02</x:v>
      </x:c>
      <x:c r="B38" s="36" t="str">
        <x:v>Transport selection parent</x:v>
      </x:c>
      <x:c r="C38" s="36" t="str">
        <x:v>Scenario transit slice</x:v>
      </x:c>
      <x:c r="D38" s="42" t="str">
        <x:v>Готово local/mock</x:v>
      </x:c>
      <x:c r="E38" s="42" t="str">
        <x:v>Approved</x:v>
      </x:c>
      <x:c r="F38" s="42" t="str">
        <x:v>Local/mock</x:v>
      </x:c>
      <x:c r="G38" s="42" t="str">
        <x:v>Исторические зелёные</x:v>
      </x:c>
      <x:c r="H38" s="42" t="str">
        <x:v>Done</x:v>
      </x:c>
      <x:c r="I38" s="42" t="str">
        <x:v>P0</x:v>
      </x:c>
      <x:c r="J38" s="36" t="str">
        <x:v>Не скрывать freshness/not-live state</x:v>
      </x:c>
      <x:c r="K38" s="36" t="str">
        <x:v>Realtime/fares/booking gated</x:v>
      </x:c>
      <x:c r="L38" s="36" t="str">
        <x:v>Scenario Transit</x:v>
      </x:c>
      <x:c r="M38" s="36" t="str">
        <x:v>docs/product/SCENARIO_LATVIA_TRANSIT_SELECTION_ROADMAP.md</x:v>
      </x:c>
      <x:c r="N38" s="45" t="n">
        <x:v>46250.5</x:v>
      </x:c>
      <x:c r="O38" s="48" t="n">
        <x:f>IF(B38="","",AVERAGE(IFERROR(VLOOKUP(D38,'Справочники'!$A$5:$B$14,2,FALSE),0),IFERROR(VLOOKUP(E38,'Справочники'!$D$5:$E$12,2,FALSE),0),IFERROR(VLOOKUP(F38,'Справочники'!$G$5:$H$12,2,FALSE),0),IFERROR(VLOOKUP(G38,'Справочники'!$J$5:$K$12,2,FALSE),0)))</x:f>
        <x:v>0.7375</x:v>
      </x:c>
      <x:c r="P38" s="36" t="str"/>
    </x:row>
    <x:row r="39" ht="44" customHeight="1">
      <x:c r="A39" s="39" t="str">
        <x:v>SCN-LV-DATA-02A</x:v>
      </x:c>
      <x:c r="B39" s="36" t="str">
        <x:v>Snapshot contract</x:v>
      </x:c>
      <x:c r="C39" s="36" t="str">
        <x:v>Scenario transit slice</x:v>
      </x:c>
      <x:c r="D39" s="42" t="str">
        <x:v>Готово local/mock</x:v>
      </x:c>
      <x:c r="E39" s="42" t="str">
        <x:v>Approved</x:v>
      </x:c>
      <x:c r="F39" s="42" t="str">
        <x:v>Local/mock</x:v>
      </x:c>
      <x:c r="G39" s="42" t="str">
        <x:v>Исторические зелёные</x:v>
      </x:c>
      <x:c r="H39" s="42" t="str">
        <x:v>Done</x:v>
      </x:c>
      <x:c r="I39" s="42" t="str">
        <x:v>P0</x:v>
      </x:c>
      <x:c r="J39" s="36" t="str">
        <x:v>Не скрывать freshness/not-live state</x:v>
      </x:c>
      <x:c r="K39" s="36" t="str">
        <x:v>Realtime/fares/booking gated</x:v>
      </x:c>
      <x:c r="L39" s="36" t="str">
        <x:v>Scenario Transit</x:v>
      </x:c>
      <x:c r="M39" s="36" t="str">
        <x:v>docs/product/SCENARIO_LATVIA_TRANSIT_SELECTION_ROADMAP.md</x:v>
      </x:c>
      <x:c r="N39" s="45" t="n">
        <x:v>46250.5</x:v>
      </x:c>
      <x:c r="O39" s="48" t="n">
        <x:f>IF(B39="","",AVERAGE(IFERROR(VLOOKUP(D39,'Справочники'!$A$5:$B$14,2,FALSE),0),IFERROR(VLOOKUP(E39,'Справочники'!$D$5:$E$12,2,FALSE),0),IFERROR(VLOOKUP(F39,'Справочники'!$G$5:$H$12,2,FALSE),0),IFERROR(VLOOKUP(G39,'Справочники'!$J$5:$K$12,2,FALSE),0)))</x:f>
        <x:v>0.7375</x:v>
      </x:c>
      <x:c r="P39" s="36" t="str"/>
    </x:row>
    <x:row r="40" ht="44" customHeight="1">
      <x:c r="A40" s="39" t="str">
        <x:v>SCN-LV-DATA-02B</x:v>
      </x:c>
      <x:c r="B40" s="36" t="str">
        <x:v>Search workflow</x:v>
      </x:c>
      <x:c r="C40" s="36" t="str">
        <x:v>Scenario transit slice</x:v>
      </x:c>
      <x:c r="D40" s="42" t="str">
        <x:v>Готово local/mock</x:v>
      </x:c>
      <x:c r="E40" s="42" t="str">
        <x:v>Approved</x:v>
      </x:c>
      <x:c r="F40" s="42" t="str">
        <x:v>Local/mock</x:v>
      </x:c>
      <x:c r="G40" s="42" t="str">
        <x:v>Исторические зелёные</x:v>
      </x:c>
      <x:c r="H40" s="42" t="str">
        <x:v>Done</x:v>
      </x:c>
      <x:c r="I40" s="42" t="str">
        <x:v>P0</x:v>
      </x:c>
      <x:c r="J40" s="36" t="str">
        <x:v>Не скрывать freshness/not-live state</x:v>
      </x:c>
      <x:c r="K40" s="36" t="str">
        <x:v>Realtime/fares/booking gated</x:v>
      </x:c>
      <x:c r="L40" s="36" t="str">
        <x:v>Scenario Transit</x:v>
      </x:c>
      <x:c r="M40" s="36" t="str">
        <x:v>docs/product/SCENARIO_LATVIA_TRANSIT_SELECTION_ROADMAP.md</x:v>
      </x:c>
      <x:c r="N40" s="45" t="n">
        <x:v>46250.5</x:v>
      </x:c>
      <x:c r="O40" s="48" t="n">
        <x:f>IF(B40="","",AVERAGE(IFERROR(VLOOKUP(D40,'Справочники'!$A$5:$B$14,2,FALSE),0),IFERROR(VLOOKUP(E40,'Справочники'!$D$5:$E$12,2,FALSE),0),IFERROR(VLOOKUP(F40,'Справочники'!$G$5:$H$12,2,FALSE),0),IFERROR(VLOOKUP(G40,'Справочники'!$J$5:$K$12,2,FALSE),0)))</x:f>
        <x:v>0.7375</x:v>
      </x:c>
      <x:c r="P40" s="36" t="str"/>
    </x:row>
    <x:row r="41" ht="44" customHeight="1">
      <x:c r="A41" s="39" t="str">
        <x:v>SCN-LV-DATA-02C</x:v>
      </x:c>
      <x:c r="B41" s="36" t="str">
        <x:v>Official schedule picker</x:v>
      </x:c>
      <x:c r="C41" s="36" t="str">
        <x:v>Scenario transit slice</x:v>
      </x:c>
      <x:c r="D41" s="42" t="str">
        <x:v>Готово local/mock</x:v>
      </x:c>
      <x:c r="E41" s="42" t="str">
        <x:v>Approved</x:v>
      </x:c>
      <x:c r="F41" s="42" t="str">
        <x:v>Local/mock</x:v>
      </x:c>
      <x:c r="G41" s="42" t="str">
        <x:v>Исторические зелёные</x:v>
      </x:c>
      <x:c r="H41" s="42" t="str">
        <x:v>Done</x:v>
      </x:c>
      <x:c r="I41" s="42" t="str">
        <x:v>P0</x:v>
      </x:c>
      <x:c r="J41" s="36" t="str">
        <x:v>Не скрывать freshness/not-live state</x:v>
      </x:c>
      <x:c r="K41" s="36" t="str">
        <x:v>Realtime/fares/booking gated</x:v>
      </x:c>
      <x:c r="L41" s="36" t="str">
        <x:v>Scenario Transit</x:v>
      </x:c>
      <x:c r="M41" s="36" t="str">
        <x:v>docs/product/SCENARIO_LATVIA_TRANSIT_SELECTION_ROADMAP.md</x:v>
      </x:c>
      <x:c r="N41" s="45" t="n">
        <x:v>46250.5</x:v>
      </x:c>
      <x:c r="O41" s="48" t="n">
        <x:f>IF(B41="","",AVERAGE(IFERROR(VLOOKUP(D41,'Справочники'!$A$5:$B$14,2,FALSE),0),IFERROR(VLOOKUP(E41,'Справочники'!$D$5:$E$12,2,FALSE),0),IFERROR(VLOOKUP(F41,'Справочники'!$G$5:$H$12,2,FALSE),0),IFERROR(VLOOKUP(G41,'Справочники'!$J$5:$K$12,2,FALSE),0)))</x:f>
        <x:v>0.7375</x:v>
      </x:c>
      <x:c r="P41" s="36" t="str"/>
    </x:row>
    <x:row r="42" ht="44" customHeight="1">
      <x:c r="A42" s="39" t="str">
        <x:v>SCN-LV-DATA-02D</x:v>
      </x:c>
      <x:c r="B42" s="36" t="str">
        <x:v>Atomic Apply/Recheck/Replace</x:v>
      </x:c>
      <x:c r="C42" s="36" t="str">
        <x:v>Scenario transit slice</x:v>
      </x:c>
      <x:c r="D42" s="42" t="str">
        <x:v>Готово local/mock</x:v>
      </x:c>
      <x:c r="E42" s="42" t="str">
        <x:v>Approved</x:v>
      </x:c>
      <x:c r="F42" s="42" t="str">
        <x:v>Local/mock</x:v>
      </x:c>
      <x:c r="G42" s="42" t="str">
        <x:v>Исторические зелёные</x:v>
      </x:c>
      <x:c r="H42" s="42" t="str">
        <x:v>Done</x:v>
      </x:c>
      <x:c r="I42" s="42" t="str">
        <x:v>P0</x:v>
      </x:c>
      <x:c r="J42" s="36" t="str">
        <x:v>Не скрывать freshness/not-live state</x:v>
      </x:c>
      <x:c r="K42" s="36" t="str">
        <x:v>Realtime/fares/booking gated</x:v>
      </x:c>
      <x:c r="L42" s="36" t="str">
        <x:v>Scenario Transit</x:v>
      </x:c>
      <x:c r="M42" s="36" t="str">
        <x:v>docs/product/SCENARIO_LATVIA_TRANSIT_SELECTION_ROADMAP.md</x:v>
      </x:c>
      <x:c r="N42" s="45" t="n">
        <x:v>46250.5</x:v>
      </x:c>
      <x:c r="O42" s="48" t="n">
        <x:f>IF(B42="","",AVERAGE(IFERROR(VLOOKUP(D42,'Справочники'!$A$5:$B$14,2,FALSE),0),IFERROR(VLOOKUP(E42,'Справочники'!$D$5:$E$12,2,FALSE),0),IFERROR(VLOOKUP(F42,'Справочники'!$G$5:$H$12,2,FALSE),0),IFERROR(VLOOKUP(G42,'Справочники'!$J$5:$K$12,2,FALSE),0)))</x:f>
        <x:v>0.7375</x:v>
      </x:c>
      <x:c r="P42" s="36" t="str"/>
    </x:row>
    <x:row r="43" ht="44" customHeight="1">
      <x:c r="A43" s="39" t="str">
        <x:v>SCN-LV-DATA-02E</x:v>
      </x:c>
      <x:c r="B43" s="36" t="str">
        <x:v>Quality/release gate</x:v>
      </x:c>
      <x:c r="C43" s="36" t="str">
        <x:v>Scenario transit slice</x:v>
      </x:c>
      <x:c r="D43" s="42" t="str">
        <x:v>Готово local/mock</x:v>
      </x:c>
      <x:c r="E43" s="42" t="str">
        <x:v>Approved</x:v>
      </x:c>
      <x:c r="F43" s="42" t="str">
        <x:v>Local/mock</x:v>
      </x:c>
      <x:c r="G43" s="42" t="str">
        <x:v>Исторические зелёные</x:v>
      </x:c>
      <x:c r="H43" s="42" t="str">
        <x:v>Done</x:v>
      </x:c>
      <x:c r="I43" s="42" t="str">
        <x:v>P0</x:v>
      </x:c>
      <x:c r="J43" s="36" t="str">
        <x:v>Не скрывать freshness/not-live state</x:v>
      </x:c>
      <x:c r="K43" s="36" t="str">
        <x:v>Realtime/fares/booking gated</x:v>
      </x:c>
      <x:c r="L43" s="36" t="str">
        <x:v>Scenario Transit</x:v>
      </x:c>
      <x:c r="M43" s="36" t="str">
        <x:v>docs/product/SCENARIO_LATVIA_TRANSIT_SELECTION_ROADMAP.md</x:v>
      </x:c>
      <x:c r="N43" s="45" t="n">
        <x:v>46250.5</x:v>
      </x:c>
      <x:c r="O43" s="48" t="n">
        <x:f>IF(B43="","",AVERAGE(IFERROR(VLOOKUP(D43,'Справочники'!$A$5:$B$14,2,FALSE),0),IFERROR(VLOOKUP(E43,'Справочники'!$D$5:$E$12,2,FALSE),0),IFERROR(VLOOKUP(F43,'Справочники'!$G$5:$H$12,2,FALSE),0),IFERROR(VLOOKUP(G43,'Справочники'!$J$5:$K$12,2,FALSE),0)))</x:f>
        <x:v>0.7375</x:v>
      </x:c>
      <x:c r="P43" s="36" t="str"/>
    </x:row>
    <x:row r="44" ht="44" customHeight="1">
      <x:c r="A44" s="39" t="str">
        <x:v>SCN-INTAKE-01</x:v>
      </x:c>
      <x:c r="B44" s="36" t="str">
        <x:v>Object intake parent</x:v>
      </x:c>
      <x:c r="C44" s="36" t="str">
        <x:v>Scenario intake slice</x:v>
      </x:c>
      <x:c r="D44" s="42" t="str">
        <x:v>Готово local/mock</x:v>
      </x:c>
      <x:c r="E44" s="42" t="str">
        <x:v>Approved</x:v>
      </x:c>
      <x:c r="F44" s="42" t="str">
        <x:v>Local/mock</x:v>
      </x:c>
      <x:c r="G44" s="42" t="str">
        <x:v>Исторические зелёные</x:v>
      </x:c>
      <x:c r="H44" s="42" t="str">
        <x:v>Done</x:v>
      </x:c>
      <x:c r="I44" s="42" t="str">
        <x:v>P0</x:v>
      </x:c>
      <x:c r="J44" s="36" t="str">
        <x:v>Preserve auth/owner scope and atomic Apply</x:v>
      </x:c>
      <x:c r="K44" s="36" t="str">
        <x:v>Public publish gated</x:v>
      </x:c>
      <x:c r="L44" s="36" t="str">
        <x:v>Scenario Intake</x:v>
      </x:c>
      <x:c r="M44" s="36" t="str">
        <x:v>docs/product/SCENARIO_OBJECT_INTAKE_SLICE_SPEC.md</x:v>
      </x:c>
      <x:c r="N44" s="45" t="n">
        <x:v>46250.5</x:v>
      </x:c>
      <x:c r="O44" s="48" t="n">
        <x:f>IF(B44="","",AVERAGE(IFERROR(VLOOKUP(D44,'Справочники'!$A$5:$B$14,2,FALSE),0),IFERROR(VLOOKUP(E44,'Справочники'!$D$5:$E$12,2,FALSE),0),IFERROR(VLOOKUP(F44,'Справочники'!$G$5:$H$12,2,FALSE),0),IFERROR(VLOOKUP(G44,'Справочники'!$J$5:$K$12,2,FALSE),0)))</x:f>
        <x:v>0.7375</x:v>
      </x:c>
      <x:c r="P44" s="36" t="str"/>
    </x:row>
    <x:row r="45" ht="44" customHeight="1">
      <x:c r="A45" s="39" t="str">
        <x:v>SCN-INTAKE-01A</x:v>
      </x:c>
      <x:c r="B45" s="36" t="str">
        <x:v>Contracts/persistence/atomic command</x:v>
      </x:c>
      <x:c r="C45" s="36" t="str">
        <x:v>Scenario intake slice</x:v>
      </x:c>
      <x:c r="D45" s="42" t="str">
        <x:v>Готово local/mock</x:v>
      </x:c>
      <x:c r="E45" s="42" t="str">
        <x:v>Approved</x:v>
      </x:c>
      <x:c r="F45" s="42" t="str">
        <x:v>Local/mock</x:v>
      </x:c>
      <x:c r="G45" s="42" t="str">
        <x:v>Исторические зелёные</x:v>
      </x:c>
      <x:c r="H45" s="42" t="str">
        <x:v>Done</x:v>
      </x:c>
      <x:c r="I45" s="42" t="str">
        <x:v>P0</x:v>
      </x:c>
      <x:c r="J45" s="36" t="str">
        <x:v>Preserve auth/owner scope and atomic Apply</x:v>
      </x:c>
      <x:c r="K45" s="36" t="str">
        <x:v>Public publish gated</x:v>
      </x:c>
      <x:c r="L45" s="36" t="str">
        <x:v>Scenario Intake</x:v>
      </x:c>
      <x:c r="M45" s="36" t="str">
        <x:v>docs/product/SCENARIO_OBJECT_INTAKE_SLICE_SPEC.md</x:v>
      </x:c>
      <x:c r="N45" s="45" t="n">
        <x:v>46250.5</x:v>
      </x:c>
      <x:c r="O45" s="48" t="n">
        <x:f>IF(B45="","",AVERAGE(IFERROR(VLOOKUP(D45,'Справочники'!$A$5:$B$14,2,FALSE),0),IFERROR(VLOOKUP(E45,'Справочники'!$D$5:$E$12,2,FALSE),0),IFERROR(VLOOKUP(F45,'Справочники'!$G$5:$H$12,2,FALSE),0),IFERROR(VLOOKUP(G45,'Справочники'!$J$5:$K$12,2,FALSE),0)))</x:f>
        <x:v>0.7375</x:v>
      </x:c>
      <x:c r="P45" s="36" t="str"/>
    </x:row>
    <x:row r="46" ht="44" customHeight="1">
      <x:c r="A46" s="39" t="str">
        <x:v>SCN-INTAKE-01B</x:v>
      </x:c>
      <x:c r="B46" s="36" t="str">
        <x:v>Shared target/placement/review</x:v>
      </x:c>
      <x:c r="C46" s="36" t="str">
        <x:v>Scenario intake slice</x:v>
      </x:c>
      <x:c r="D46" s="42" t="str">
        <x:v>Готово local/mock</x:v>
      </x:c>
      <x:c r="E46" s="42" t="str">
        <x:v>Approved</x:v>
      </x:c>
      <x:c r="F46" s="42" t="str">
        <x:v>Local/mock</x:v>
      </x:c>
      <x:c r="G46" s="42" t="str">
        <x:v>Исторические зелёные</x:v>
      </x:c>
      <x:c r="H46" s="42" t="str">
        <x:v>Done</x:v>
      </x:c>
      <x:c r="I46" s="42" t="str">
        <x:v>P0</x:v>
      </x:c>
      <x:c r="J46" s="36" t="str">
        <x:v>Preserve auth/owner scope and atomic Apply</x:v>
      </x:c>
      <x:c r="K46" s="36" t="str">
        <x:v>Public publish gated</x:v>
      </x:c>
      <x:c r="L46" s="36" t="str">
        <x:v>Scenario Intake</x:v>
      </x:c>
      <x:c r="M46" s="36" t="str">
        <x:v>docs/product/SCENARIO_OBJECT_INTAKE_SLICE_SPEC.md</x:v>
      </x:c>
      <x:c r="N46" s="45" t="n">
        <x:v>46250.5</x:v>
      </x:c>
      <x:c r="O46" s="48" t="n">
        <x:f>IF(B46="","",AVERAGE(IFERROR(VLOOKUP(D46,'Справочники'!$A$5:$B$14,2,FALSE),0),IFERROR(VLOOKUP(E46,'Справочники'!$D$5:$E$12,2,FALSE),0),IFERROR(VLOOKUP(F46,'Справочники'!$G$5:$H$12,2,FALSE),0),IFERROR(VLOOKUP(G46,'Справочники'!$J$5:$K$12,2,FALSE),0)))</x:f>
        <x:v>0.7375</x:v>
      </x:c>
      <x:c r="P46" s="36" t="str"/>
    </x:row>
    <x:row r="47" ht="44" customHeight="1">
      <x:c r="A47" s="39" t="str">
        <x:v>SCN-INTAKE-01C</x:v>
      </x:c>
      <x:c r="B47" s="36" t="str">
        <x:v>Search and Map surfaces</x:v>
      </x:c>
      <x:c r="C47" s="36" t="str">
        <x:v>Scenario intake slice</x:v>
      </x:c>
      <x:c r="D47" s="42" t="str">
        <x:v>Готово local/mock</x:v>
      </x:c>
      <x:c r="E47" s="42" t="str">
        <x:v>Approved</x:v>
      </x:c>
      <x:c r="F47" s="42" t="str">
        <x:v>Local/mock</x:v>
      </x:c>
      <x:c r="G47" s="42" t="str">
        <x:v>Исторические зелёные</x:v>
      </x:c>
      <x:c r="H47" s="42" t="str">
        <x:v>Done</x:v>
      </x:c>
      <x:c r="I47" s="42" t="str">
        <x:v>P0</x:v>
      </x:c>
      <x:c r="J47" s="36" t="str">
        <x:v>Preserve auth/owner scope and atomic Apply</x:v>
      </x:c>
      <x:c r="K47" s="36" t="str">
        <x:v>Public publish gated</x:v>
      </x:c>
      <x:c r="L47" s="36" t="str">
        <x:v>Scenario Intake</x:v>
      </x:c>
      <x:c r="M47" s="36" t="str">
        <x:v>docs/product/SCENARIO_OBJECT_INTAKE_SLICE_SPEC.md</x:v>
      </x:c>
      <x:c r="N47" s="45" t="n">
        <x:v>46250.5</x:v>
      </x:c>
      <x:c r="O47" s="48" t="n">
        <x:f>IF(B47="","",AVERAGE(IFERROR(VLOOKUP(D47,'Справочники'!$A$5:$B$14,2,FALSE),0),IFERROR(VLOOKUP(E47,'Справочники'!$D$5:$E$12,2,FALSE),0),IFERROR(VLOOKUP(F47,'Справочники'!$G$5:$H$12,2,FALSE),0),IFERROR(VLOOKUP(G47,'Справочники'!$J$5:$K$12,2,FALSE),0)))</x:f>
        <x:v>0.7375</x:v>
      </x:c>
      <x:c r="P47" s="36" t="str"/>
    </x:row>
    <x:row r="48" ht="44" customHeight="1">
      <x:c r="A48" s="39" t="str">
        <x:v>SCN-INTAKE-01D</x:v>
      </x:c>
      <x:c r="B48" s="36" t="str">
        <x:v>Quality/accessibility gate</x:v>
      </x:c>
      <x:c r="C48" s="36" t="str">
        <x:v>Scenario intake slice</x:v>
      </x:c>
      <x:c r="D48" s="42" t="str">
        <x:v>Готово local/mock</x:v>
      </x:c>
      <x:c r="E48" s="42" t="str">
        <x:v>Approved</x:v>
      </x:c>
      <x:c r="F48" s="42" t="str">
        <x:v>Local/mock</x:v>
      </x:c>
      <x:c r="G48" s="42" t="str">
        <x:v>Исторические зелёные</x:v>
      </x:c>
      <x:c r="H48" s="42" t="str">
        <x:v>Done</x:v>
      </x:c>
      <x:c r="I48" s="42" t="str">
        <x:v>P0</x:v>
      </x:c>
      <x:c r="J48" s="36" t="str">
        <x:v>Preserve auth/owner scope and atomic Apply</x:v>
      </x:c>
      <x:c r="K48" s="36" t="str">
        <x:v>Public publish gated</x:v>
      </x:c>
      <x:c r="L48" s="36" t="str">
        <x:v>Scenario Intake</x:v>
      </x:c>
      <x:c r="M48" s="36" t="str">
        <x:v>docs/product/SCENARIO_OBJECT_INTAKE_SLICE_SPEC.md</x:v>
      </x:c>
      <x:c r="N48" s="45" t="n">
        <x:v>46250.5</x:v>
      </x:c>
      <x:c r="O48" s="48" t="n">
        <x:f>IF(B48="","",AVERAGE(IFERROR(VLOOKUP(D48,'Справочники'!$A$5:$B$14,2,FALSE),0),IFERROR(VLOOKUP(E48,'Справочники'!$D$5:$E$12,2,FALSE),0),IFERROR(VLOOKUP(F48,'Справочники'!$G$5:$H$12,2,FALSE),0),IFERROR(VLOOKUP(G48,'Справочники'!$J$5:$K$12,2,FALSE),0)))</x:f>
        <x:v>0.7375</x:v>
      </x:c>
      <x:c r="P48" s="36" t="str"/>
    </x:row>
    <x:row r="49" ht="44" customHeight="1">
      <x:c r="A49" s="39" t="str">
        <x:v>SCN-BND-01</x:v>
      </x:c>
      <x:c r="B49" s="36" t="str">
        <x:v>Scenario/Quick Plan identity correction</x:v>
      </x:c>
      <x:c r="C49" s="36" t="str">
        <x:v>Boundary migration slice</x:v>
      </x:c>
      <x:c r="D49" s="42" t="str">
        <x:v>Готово local/mock</x:v>
      </x:c>
      <x:c r="E49" s="42" t="str">
        <x:v>Approved</x:v>
      </x:c>
      <x:c r="F49" s="42" t="str">
        <x:v>Local/mock</x:v>
      </x:c>
      <x:c r="G49" s="42" t="str">
        <x:v>Исторические зелёные</x:v>
      </x:c>
      <x:c r="H49" s="42" t="str">
        <x:v>Implemented locally</x:v>
      </x:c>
      <x:c r="I49" s="42" t="str">
        <x:v>P0</x:v>
      </x:c>
      <x:c r="J49" s="36" t="str">
        <x:v>Retain legacy adapters until M10 evidence</x:v>
      </x:c>
      <x:c r="K49" s="36" t="str">
        <x:v>Backend none</x:v>
      </x:c>
      <x:c r="L49" s="36" t="str">
        <x:v>Planning</x:v>
      </x:c>
      <x:c r="M49" s="36" t="str">
        <x:v>docs/product/SCENARIO_QUICK_PLAN_BOUNDARY_MIGRATION_SLICE_SPEC.md</x:v>
      </x:c>
      <x:c r="N49" s="45" t="n">
        <x:v>46250.5</x:v>
      </x:c>
      <x:c r="O49" s="48" t="n">
        <x:f>IF(B49="","",AVERAGE(IFERROR(VLOOKUP(D49,'Справочники'!$A$5:$B$14,2,FALSE),0),IFERROR(VLOOKUP(E49,'Справочники'!$D$5:$E$12,2,FALSE),0),IFERROR(VLOOKUP(F49,'Справочники'!$G$5:$H$12,2,FALSE),0),IFERROR(VLOOKUP(G49,'Справочники'!$J$5:$K$12,2,FALSE),0)))</x:f>
        <x:v>0.7375</x:v>
      </x:c>
      <x:c r="P49" s="36" t="str"/>
    </x:row>
    <x:row r="50" ht="44" customHeight="1">
      <x:c r="A50" s="39" t="str">
        <x:v>SCN-ENTRY-01</x:v>
      </x:c>
      <x:c r="B50" s="36" t="str">
        <x:v>Typed navigation/chooser</x:v>
      </x:c>
      <x:c r="C50" s="36" t="str">
        <x:v>Boundary migration slice</x:v>
      </x:c>
      <x:c r="D50" s="42" t="str">
        <x:v>Готово local/mock</x:v>
      </x:c>
      <x:c r="E50" s="42" t="str">
        <x:v>Approved</x:v>
      </x:c>
      <x:c r="F50" s="42" t="str">
        <x:v>Local/mock</x:v>
      </x:c>
      <x:c r="G50" s="42" t="str">
        <x:v>Исторические зелёные</x:v>
      </x:c>
      <x:c r="H50" s="42" t="str">
        <x:v>Implemented locally</x:v>
      </x:c>
      <x:c r="I50" s="42" t="str">
        <x:v>P0</x:v>
      </x:c>
      <x:c r="J50" s="36" t="str">
        <x:v>Retain legacy adapters until M10 evidence</x:v>
      </x:c>
      <x:c r="K50" s="36" t="str">
        <x:v>Backend none</x:v>
      </x:c>
      <x:c r="L50" s="36" t="str">
        <x:v>Planning</x:v>
      </x:c>
      <x:c r="M50" s="36" t="str">
        <x:v>docs/product/SCENARIO_QUICK_PLAN_BOUNDARY_MIGRATION_SLICE_SPEC.md</x:v>
      </x:c>
      <x:c r="N50" s="45" t="n">
        <x:v>46250.5</x:v>
      </x:c>
      <x:c r="O50" s="48" t="n">
        <x:f>IF(B50="","",AVERAGE(IFERROR(VLOOKUP(D50,'Справочники'!$A$5:$B$14,2,FALSE),0),IFERROR(VLOOKUP(E50,'Справочники'!$D$5:$E$12,2,FALSE),0),IFERROR(VLOOKUP(F50,'Справочники'!$G$5:$H$12,2,FALSE),0),IFERROR(VLOOKUP(G50,'Справочники'!$J$5:$K$12,2,FALSE),0)))</x:f>
        <x:v>0.7375</x:v>
      </x:c>
      <x:c r="P50" s="36" t="str"/>
    </x:row>
    <x:row r="51" ht="44" customHeight="1">
      <x:c r="A51" s="39" t="str">
        <x:v>SCN-SURFACE-01</x:v>
      </x:c>
      <x:c r="B51" s="36" t="str">
        <x:v>Surface ownership/naming</x:v>
      </x:c>
      <x:c r="C51" s="36" t="str">
        <x:v>Boundary migration slice</x:v>
      </x:c>
      <x:c r="D51" s="42" t="str">
        <x:v>Готово local/mock</x:v>
      </x:c>
      <x:c r="E51" s="42" t="str">
        <x:v>Approved</x:v>
      </x:c>
      <x:c r="F51" s="42" t="str">
        <x:v>Local/mock</x:v>
      </x:c>
      <x:c r="G51" s="42" t="str">
        <x:v>Исторические зелёные</x:v>
      </x:c>
      <x:c r="H51" s="42" t="str">
        <x:v>Implemented locally</x:v>
      </x:c>
      <x:c r="I51" s="42" t="str">
        <x:v>P0</x:v>
      </x:c>
      <x:c r="J51" s="36" t="str">
        <x:v>Retain legacy adapters until M10 evidence</x:v>
      </x:c>
      <x:c r="K51" s="36" t="str">
        <x:v>Backend none</x:v>
      </x:c>
      <x:c r="L51" s="36" t="str">
        <x:v>Planning</x:v>
      </x:c>
      <x:c r="M51" s="36" t="str">
        <x:v>docs/product/SCENARIO_QUICK_PLAN_BOUNDARY_MIGRATION_SLICE_SPEC.md</x:v>
      </x:c>
      <x:c r="N51" s="45" t="n">
        <x:v>46250.5</x:v>
      </x:c>
      <x:c r="O51" s="48" t="n">
        <x:f>IF(B51="","",AVERAGE(IFERROR(VLOOKUP(D51,'Справочники'!$A$5:$B$14,2,FALSE),0),IFERROR(VLOOKUP(E51,'Справочники'!$D$5:$E$12,2,FALSE),0),IFERROR(VLOOKUP(F51,'Справочники'!$G$5:$H$12,2,FALSE),0),IFERROR(VLOOKUP(G51,'Справочники'!$J$5:$K$12,2,FALSE),0)))</x:f>
        <x:v>0.7375</x:v>
      </x:c>
      <x:c r="P51" s="36" t="str"/>
    </x:row>
    <x:row r="52" ht="44" customHeight="1">
      <x:c r="A52" s="39" t="str">
        <x:v>SCN-NOTIF-01</x:v>
      </x:c>
      <x:c r="B52" s="36" t="str">
        <x:v>Local Scenario notifications</x:v>
      </x:c>
      <x:c r="C52" s="36" t="str">
        <x:v>Boundary migration slice</x:v>
      </x:c>
      <x:c r="D52" s="42" t="str">
        <x:v>Готово local/mock</x:v>
      </x:c>
      <x:c r="E52" s="42" t="str">
        <x:v>Approved</x:v>
      </x:c>
      <x:c r="F52" s="42" t="str">
        <x:v>Local/mock</x:v>
      </x:c>
      <x:c r="G52" s="42" t="str">
        <x:v>Исторические зелёные</x:v>
      </x:c>
      <x:c r="H52" s="42" t="str">
        <x:v>Implemented locally</x:v>
      </x:c>
      <x:c r="I52" s="42" t="str">
        <x:v>P0</x:v>
      </x:c>
      <x:c r="J52" s="36" t="str">
        <x:v>Retain legacy adapters until M10 evidence</x:v>
      </x:c>
      <x:c r="K52" s="36" t="str">
        <x:v>Backend none</x:v>
      </x:c>
      <x:c r="L52" s="36" t="str">
        <x:v>Planning</x:v>
      </x:c>
      <x:c r="M52" s="36" t="str">
        <x:v>docs/product/SCENARIO_QUICK_PLAN_BOUNDARY_MIGRATION_SLICE_SPEC.md</x:v>
      </x:c>
      <x:c r="N52" s="45" t="n">
        <x:v>46250.5</x:v>
      </x:c>
      <x:c r="O52" s="48" t="n">
        <x:f>IF(B52="","",AVERAGE(IFERROR(VLOOKUP(D52,'Справочники'!$A$5:$B$14,2,FALSE),0),IFERROR(VLOOKUP(E52,'Справочники'!$D$5:$E$12,2,FALSE),0),IFERROR(VLOOKUP(F52,'Справочники'!$G$5:$H$12,2,FALSE),0),IFERROR(VLOOKUP(G52,'Справочники'!$J$5:$K$12,2,FALSE),0)))</x:f>
        <x:v>0.7375</x:v>
      </x:c>
      <x:c r="P52" s="36" t="str"/>
    </x:row>
    <x:row r="53" ht="44" customHeight="1">
      <x:c r="A53" s="39" t="str">
        <x:v>SCN-LEGACY-01</x:v>
      </x:c>
      <x:c r="B53" s="36" t="str">
        <x:v>Destructive legacy cleanup</x:v>
      </x:c>
      <x:c r="C53" s="36" t="str">
        <x:v>Migration cleanup</x:v>
      </x:c>
      <x:c r="D53" s="42" t="str">
        <x:v>План</x:v>
      </x:c>
      <x:c r="E53" s="42" t="str">
        <x:v>Approved</x:v>
      </x:c>
      <x:c r="F53" s="42" t="str">
        <x:v>Отсутствует</x:v>
      </x:c>
      <x:c r="G53" s="42" t="str">
        <x:v>Не запускались</x:v>
      </x:c>
      <x:c r="H53" s="42" t="str">
        <x:v>M10 only</x:v>
      </x:c>
      <x:c r="I53" s="42" t="str">
        <x:v>P3</x:v>
      </x:c>
      <x:c r="J53" s="36" t="str">
        <x:v>Consumer-zero + observation window before removal</x:v>
      </x:c>
      <x:c r="K53" s="36" t="str">
        <x:v>M10 not reached</x:v>
      </x:c>
      <x:c r="L53" s="36" t="str">
        <x:v>Planning</x:v>
      </x:c>
      <x:c r="M53" s="36" t="str">
        <x:v>docs/product/SCENARIO_QUICK_PLAN_BOUNDARY_MIGRATION_SLICE_SPEC.md</x:v>
      </x:c>
      <x:c r="N53" s="45" t="n">
        <x:v>46250.5</x:v>
      </x:c>
      <x:c r="O53" s="48" t="n">
        <x:f>IF(B53="","",AVERAGE(IFERROR(VLOOKUP(D53,'Справочники'!$A$5:$B$14,2,FALSE),0),IFERROR(VLOOKUP(E53,'Справочники'!$D$5:$E$12,2,FALSE),0),IFERROR(VLOOKUP(F53,'Справочники'!$G$5:$H$12,2,FALSE),0),IFERROR(VLOOKUP(G53,'Справочники'!$J$5:$K$12,2,FALSE),0)))</x:f>
        <x:v>0.25</x:v>
      </x:c>
      <x:c r="P53" s="36" t="str"/>
    </x:row>
    <x:row r="54" ht="44" customHeight="1">
      <x:c r="A54" s="39" t="str">
        <x:v>RTE-00</x:v>
      </x:c>
      <x:c r="B54" s="36" t="str">
        <x:v>Route slice 00</x:v>
      </x:c>
      <x:c r="C54" s="36" t="str">
        <x:v>Route execution slice</x:v>
      </x:c>
      <x:c r="D54" s="42" t="str">
        <x:v>Review</x:v>
      </x:c>
      <x:c r="E54" s="42" t="str">
        <x:v>Approved</x:v>
      </x:c>
      <x:c r="F54" s="42" t="str">
        <x:v>Local/mock</x:v>
      </x:c>
      <x:c r="G54" s="42" t="str">
        <x:v>Частично</x:v>
      </x:c>
      <x:c r="H54" s="42" t="str">
        <x:v>Review</x:v>
      </x:c>
      <x:c r="I54" s="42" t="str">
        <x:v>P0</x:v>
      </x:c>
      <x:c r="J54" s="36" t="str">
        <x:v>Close review evidence</x:v>
      </x:c>
      <x:c r="K54" s="36" t="str"/>
      <x:c r="L54" s="36" t="str">
        <x:v>Route</x:v>
      </x:c>
      <x:c r="M54" s="36" t="str">
        <x:v>docs/product/ROUTE_IMPLEMENTATION_ROADMAP.md</x:v>
      </x:c>
      <x:c r="N54" s="45" t="n">
        <x:v>46250.5</x:v>
      </x:c>
      <x:c r="O54" s="48" t="n">
        <x:f>IF(B54="","",AVERAGE(IFERROR(VLOOKUP(D54,'Справочники'!$A$5:$B$14,2,FALSE),0),IFERROR(VLOOKUP(E54,'Справочники'!$D$5:$E$12,2,FALSE),0),IFERROR(VLOOKUP(F54,'Справочники'!$G$5:$H$12,2,FALSE),0),IFERROR(VLOOKUP(G54,'Справочники'!$J$5:$K$12,2,FALSE),0)))</x:f>
        <x:v>0.6375000000000001</x:v>
      </x:c>
      <x:c r="P54" s="36" t="str"/>
    </x:row>
    <x:row r="55" ht="44" customHeight="1">
      <x:c r="A55" s="39" t="str">
        <x:v>RTE-01</x:v>
      </x:c>
      <x:c r="B55" s="36" t="str">
        <x:v>Route slice 01</x:v>
      </x:c>
      <x:c r="C55" s="36" t="str">
        <x:v>Route execution slice</x:v>
      </x:c>
      <x:c r="D55" s="42" t="str">
        <x:v>Готово local/mock</x:v>
      </x:c>
      <x:c r="E55" s="42" t="str">
        <x:v>Approved</x:v>
      </x:c>
      <x:c r="F55" s="42" t="str">
        <x:v>Local/mock</x:v>
      </x:c>
      <x:c r="G55" s="42" t="str">
        <x:v>Исторические зелёные</x:v>
      </x:c>
      <x:c r="H55" s="42" t="str">
        <x:v>Done</x:v>
      </x:c>
      <x:c r="I55" s="42" t="str">
        <x:v>P0</x:v>
      </x:c>
      <x:c r="J55" s="36" t="str">
        <x:v>Maintain Route-only boundary</x:v>
      </x:c>
      <x:c r="K55" s="36" t="str"/>
      <x:c r="L55" s="36" t="str">
        <x:v>Route</x:v>
      </x:c>
      <x:c r="M55" s="36" t="str">
        <x:v>docs/product/ROUTE_IMPLEMENTATION_ROADMAP.md</x:v>
      </x:c>
      <x:c r="N55" s="45" t="n">
        <x:v>46250.5</x:v>
      </x:c>
      <x:c r="O55" s="48" t="n">
        <x:f>IF(B55="","",AVERAGE(IFERROR(VLOOKUP(D55,'Справочники'!$A$5:$B$14,2,FALSE),0),IFERROR(VLOOKUP(E55,'Справочники'!$D$5:$E$12,2,FALSE),0),IFERROR(VLOOKUP(F55,'Справочники'!$G$5:$H$12,2,FALSE),0),IFERROR(VLOOKUP(G55,'Справочники'!$J$5:$K$12,2,FALSE),0)))</x:f>
        <x:v>0.7375</x:v>
      </x:c>
      <x:c r="P55" s="36" t="str"/>
    </x:row>
    <x:row r="56" ht="44" customHeight="1">
      <x:c r="A56" s="39" t="str">
        <x:v>RTE-02</x:v>
      </x:c>
      <x:c r="B56" s="36" t="str">
        <x:v>Route slice 02</x:v>
      </x:c>
      <x:c r="C56" s="36" t="str">
        <x:v>Route execution slice</x:v>
      </x:c>
      <x:c r="D56" s="42" t="str">
        <x:v>Готово local/mock</x:v>
      </x:c>
      <x:c r="E56" s="42" t="str">
        <x:v>Approved</x:v>
      </x:c>
      <x:c r="F56" s="42" t="str">
        <x:v>Local/mock</x:v>
      </x:c>
      <x:c r="G56" s="42" t="str">
        <x:v>Исторические зелёные</x:v>
      </x:c>
      <x:c r="H56" s="42" t="str">
        <x:v>Done</x:v>
      </x:c>
      <x:c r="I56" s="42" t="str">
        <x:v>P0</x:v>
      </x:c>
      <x:c r="J56" s="36" t="str">
        <x:v>Maintain Route-only boundary</x:v>
      </x:c>
      <x:c r="K56" s="36" t="str"/>
      <x:c r="L56" s="36" t="str">
        <x:v>Route</x:v>
      </x:c>
      <x:c r="M56" s="36" t="str">
        <x:v>docs/product/ROUTE_IMPLEMENTATION_ROADMAP.md</x:v>
      </x:c>
      <x:c r="N56" s="45" t="n">
        <x:v>46250.5</x:v>
      </x:c>
      <x:c r="O56" s="48" t="n">
        <x:f>IF(B56="","",AVERAGE(IFERROR(VLOOKUP(D56,'Справочники'!$A$5:$B$14,2,FALSE),0),IFERROR(VLOOKUP(E56,'Справочники'!$D$5:$E$12,2,FALSE),0),IFERROR(VLOOKUP(F56,'Справочники'!$G$5:$H$12,2,FALSE),0),IFERROR(VLOOKUP(G56,'Справочники'!$J$5:$K$12,2,FALSE),0)))</x:f>
        <x:v>0.7375</x:v>
      </x:c>
      <x:c r="P56" s="36" t="str"/>
    </x:row>
    <x:row r="57" ht="44" customHeight="1">
      <x:c r="A57" s="39" t="str">
        <x:v>RTE-03</x:v>
      </x:c>
      <x:c r="B57" s="36" t="str">
        <x:v>Route slice 03</x:v>
      </x:c>
      <x:c r="C57" s="36" t="str">
        <x:v>Route execution slice</x:v>
      </x:c>
      <x:c r="D57" s="42" t="str">
        <x:v>Готово local/mock</x:v>
      </x:c>
      <x:c r="E57" s="42" t="str">
        <x:v>Approved</x:v>
      </x:c>
      <x:c r="F57" s="42" t="str">
        <x:v>Local/mock</x:v>
      </x:c>
      <x:c r="G57" s="42" t="str">
        <x:v>Исторические зелёные</x:v>
      </x:c>
      <x:c r="H57" s="42" t="str">
        <x:v>Done</x:v>
      </x:c>
      <x:c r="I57" s="42" t="str">
        <x:v>P0</x:v>
      </x:c>
      <x:c r="J57" s="36" t="str">
        <x:v>Maintain Route-only boundary</x:v>
      </x:c>
      <x:c r="K57" s="36" t="str"/>
      <x:c r="L57" s="36" t="str">
        <x:v>Route</x:v>
      </x:c>
      <x:c r="M57" s="36" t="str">
        <x:v>docs/product/ROUTE_IMPLEMENTATION_ROADMAP.md</x:v>
      </x:c>
      <x:c r="N57" s="45" t="n">
        <x:v>46250.5</x:v>
      </x:c>
      <x:c r="O57" s="48" t="n">
        <x:f>IF(B57="","",AVERAGE(IFERROR(VLOOKUP(D57,'Справочники'!$A$5:$B$14,2,FALSE),0),IFERROR(VLOOKUP(E57,'Справочники'!$D$5:$E$12,2,FALSE),0),IFERROR(VLOOKUP(F57,'Справочники'!$G$5:$H$12,2,FALSE),0),IFERROR(VLOOKUP(G57,'Справочники'!$J$5:$K$12,2,FALSE),0)))</x:f>
        <x:v>0.7375</x:v>
      </x:c>
      <x:c r="P57" s="36" t="str"/>
    </x:row>
    <x:row r="58" ht="44" customHeight="1">
      <x:c r="A58" s="39" t="str">
        <x:v>RTE-04</x:v>
      </x:c>
      <x:c r="B58" s="36" t="str">
        <x:v>Route slice 04</x:v>
      </x:c>
      <x:c r="C58" s="36" t="str">
        <x:v>Route execution slice</x:v>
      </x:c>
      <x:c r="D58" s="42" t="str">
        <x:v>Готово local/mock</x:v>
      </x:c>
      <x:c r="E58" s="42" t="str">
        <x:v>Approved</x:v>
      </x:c>
      <x:c r="F58" s="42" t="str">
        <x:v>Local/mock</x:v>
      </x:c>
      <x:c r="G58" s="42" t="str">
        <x:v>Исторические зелёные</x:v>
      </x:c>
      <x:c r="H58" s="42" t="str">
        <x:v>Done</x:v>
      </x:c>
      <x:c r="I58" s="42" t="str">
        <x:v>P0</x:v>
      </x:c>
      <x:c r="J58" s="36" t="str">
        <x:v>Maintain Route-only boundary</x:v>
      </x:c>
      <x:c r="K58" s="36" t="str"/>
      <x:c r="L58" s="36" t="str">
        <x:v>Route</x:v>
      </x:c>
      <x:c r="M58" s="36" t="str">
        <x:v>docs/product/ROUTE_IMPLEMENTATION_ROADMAP.md</x:v>
      </x:c>
      <x:c r="N58" s="45" t="n">
        <x:v>46250.5</x:v>
      </x:c>
      <x:c r="O58" s="48" t="n">
        <x:f>IF(B58="","",AVERAGE(IFERROR(VLOOKUP(D58,'Справочники'!$A$5:$B$14,2,FALSE),0),IFERROR(VLOOKUP(E58,'Справочники'!$D$5:$E$12,2,FALSE),0),IFERROR(VLOOKUP(F58,'Справочники'!$G$5:$H$12,2,FALSE),0),IFERROR(VLOOKUP(G58,'Справочники'!$J$5:$K$12,2,FALSE),0)))</x:f>
        <x:v>0.7375</x:v>
      </x:c>
      <x:c r="P58" s="36" t="str"/>
    </x:row>
    <x:row r="59" ht="44" customHeight="1">
      <x:c r="A59" s="39" t="str">
        <x:v>RTE-05</x:v>
      </x:c>
      <x:c r="B59" s="36" t="str">
        <x:v>Route slice 05</x:v>
      </x:c>
      <x:c r="C59" s="36" t="str">
        <x:v>Route execution slice</x:v>
      </x:c>
      <x:c r="D59" s="42" t="str">
        <x:v>Готово local/mock</x:v>
      </x:c>
      <x:c r="E59" s="42" t="str">
        <x:v>Approved</x:v>
      </x:c>
      <x:c r="F59" s="42" t="str">
        <x:v>Local/mock</x:v>
      </x:c>
      <x:c r="G59" s="42" t="str">
        <x:v>Исторические зелёные</x:v>
      </x:c>
      <x:c r="H59" s="42" t="str">
        <x:v>Done</x:v>
      </x:c>
      <x:c r="I59" s="42" t="str">
        <x:v>P0</x:v>
      </x:c>
      <x:c r="J59" s="36" t="str">
        <x:v>Maintain Route-only boundary</x:v>
      </x:c>
      <x:c r="K59" s="36" t="str"/>
      <x:c r="L59" s="36" t="str">
        <x:v>Route</x:v>
      </x:c>
      <x:c r="M59" s="36" t="str">
        <x:v>docs/product/ROUTE_IMPLEMENTATION_ROADMAP.md</x:v>
      </x:c>
      <x:c r="N59" s="45" t="n">
        <x:v>46250.5</x:v>
      </x:c>
      <x:c r="O59" s="48" t="n">
        <x:f>IF(B59="","",AVERAGE(IFERROR(VLOOKUP(D59,'Справочники'!$A$5:$B$14,2,FALSE),0),IFERROR(VLOOKUP(E59,'Справочники'!$D$5:$E$12,2,FALSE),0),IFERROR(VLOOKUP(F59,'Справочники'!$G$5:$H$12,2,FALSE),0),IFERROR(VLOOKUP(G59,'Справочники'!$J$5:$K$12,2,FALSE),0)))</x:f>
        <x:v>0.7375</x:v>
      </x:c>
      <x:c r="P59" s="36" t="str"/>
    </x:row>
    <x:row r="60" ht="44" customHeight="1">
      <x:c r="A60" s="39" t="str">
        <x:v>RTE-06</x:v>
      </x:c>
      <x:c r="B60" s="36" t="str">
        <x:v>Route slice 06</x:v>
      </x:c>
      <x:c r="C60" s="36" t="str">
        <x:v>Route execution slice</x:v>
      </x:c>
      <x:c r="D60" s="42" t="str">
        <x:v>Готово local/mock</x:v>
      </x:c>
      <x:c r="E60" s="42" t="str">
        <x:v>Approved</x:v>
      </x:c>
      <x:c r="F60" s="42" t="str">
        <x:v>Local/mock</x:v>
      </x:c>
      <x:c r="G60" s="42" t="str">
        <x:v>Исторические зелёные</x:v>
      </x:c>
      <x:c r="H60" s="42" t="str">
        <x:v>Done</x:v>
      </x:c>
      <x:c r="I60" s="42" t="str">
        <x:v>P0</x:v>
      </x:c>
      <x:c r="J60" s="36" t="str">
        <x:v>Maintain Route-only boundary</x:v>
      </x:c>
      <x:c r="K60" s="36" t="str"/>
      <x:c r="L60" s="36" t="str">
        <x:v>Route</x:v>
      </x:c>
      <x:c r="M60" s="36" t="str">
        <x:v>docs/product/ROUTE_IMPLEMENTATION_ROADMAP.md</x:v>
      </x:c>
      <x:c r="N60" s="45" t="n">
        <x:v>46250.5</x:v>
      </x:c>
      <x:c r="O60" s="48" t="n">
        <x:f>IF(B60="","",AVERAGE(IFERROR(VLOOKUP(D60,'Справочники'!$A$5:$B$14,2,FALSE),0),IFERROR(VLOOKUP(E60,'Справочники'!$D$5:$E$12,2,FALSE),0),IFERROR(VLOOKUP(F60,'Справочники'!$G$5:$H$12,2,FALSE),0),IFERROR(VLOOKUP(G60,'Справочники'!$J$5:$K$12,2,FALSE),0)))</x:f>
        <x:v>0.7375</x:v>
      </x:c>
      <x:c r="P60" s="36" t="str"/>
    </x:row>
    <x:row r="61" ht="44" customHeight="1">
      <x:c r="A61" s="39" t="str">
        <x:v>RTE-07</x:v>
      </x:c>
      <x:c r="B61" s="36" t="str">
        <x:v>Route slice 07</x:v>
      </x:c>
      <x:c r="C61" s="36" t="str">
        <x:v>Route execution slice</x:v>
      </x:c>
      <x:c r="D61" s="42" t="str">
        <x:v>Готово local/mock</x:v>
      </x:c>
      <x:c r="E61" s="42" t="str">
        <x:v>Approved</x:v>
      </x:c>
      <x:c r="F61" s="42" t="str">
        <x:v>Local/mock</x:v>
      </x:c>
      <x:c r="G61" s="42" t="str">
        <x:v>Исторические зелёные</x:v>
      </x:c>
      <x:c r="H61" s="42" t="str">
        <x:v>Done</x:v>
      </x:c>
      <x:c r="I61" s="42" t="str">
        <x:v>P0</x:v>
      </x:c>
      <x:c r="J61" s="36" t="str">
        <x:v>Maintain Route-only boundary</x:v>
      </x:c>
      <x:c r="K61" s="36" t="str"/>
      <x:c r="L61" s="36" t="str">
        <x:v>Route</x:v>
      </x:c>
      <x:c r="M61" s="36" t="str">
        <x:v>docs/product/ROUTE_IMPLEMENTATION_ROADMAP.md</x:v>
      </x:c>
      <x:c r="N61" s="45" t="n">
        <x:v>46250.5</x:v>
      </x:c>
      <x:c r="O61" s="48" t="n">
        <x:f>IF(B61="","",AVERAGE(IFERROR(VLOOKUP(D61,'Справочники'!$A$5:$B$14,2,FALSE),0),IFERROR(VLOOKUP(E61,'Справочники'!$D$5:$E$12,2,FALSE),0),IFERROR(VLOOKUP(F61,'Справочники'!$G$5:$H$12,2,FALSE),0),IFERROR(VLOOKUP(G61,'Справочники'!$J$5:$K$12,2,FALSE),0)))</x:f>
        <x:v>0.7375</x:v>
      </x:c>
      <x:c r="P61" s="36" t="str"/>
    </x:row>
    <x:row r="62" ht="44" customHeight="1">
      <x:c r="A62" s="39" t="str">
        <x:v>RTE-08</x:v>
      </x:c>
      <x:c r="B62" s="36" t="str">
        <x:v>Route slice 08</x:v>
      </x:c>
      <x:c r="C62" s="36" t="str">
        <x:v>Route execution slice</x:v>
      </x:c>
      <x:c r="D62" s="42" t="str">
        <x:v>Review</x:v>
      </x:c>
      <x:c r="E62" s="42" t="str">
        <x:v>Approved</x:v>
      </x:c>
      <x:c r="F62" s="42" t="str">
        <x:v>Local/mock</x:v>
      </x:c>
      <x:c r="G62" s="42" t="str">
        <x:v>Частично</x:v>
      </x:c>
      <x:c r="H62" s="42" t="str">
        <x:v>Review</x:v>
      </x:c>
      <x:c r="I62" s="42" t="str">
        <x:v>P0</x:v>
      </x:c>
      <x:c r="J62" s="36" t="str">
        <x:v>Close review evidence</x:v>
      </x:c>
      <x:c r="K62" s="36" t="str"/>
      <x:c r="L62" s="36" t="str">
        <x:v>Route</x:v>
      </x:c>
      <x:c r="M62" s="36" t="str">
        <x:v>docs/product/ROUTE_IMPLEMENTATION_ROADMAP.md</x:v>
      </x:c>
      <x:c r="N62" s="45" t="n">
        <x:v>46250.5</x:v>
      </x:c>
      <x:c r="O62" s="48" t="n">
        <x:f>IF(B62="","",AVERAGE(IFERROR(VLOOKUP(D62,'Справочники'!$A$5:$B$14,2,FALSE),0),IFERROR(VLOOKUP(E62,'Справочники'!$D$5:$E$12,2,FALSE),0),IFERROR(VLOOKUP(F62,'Справочники'!$G$5:$H$12,2,FALSE),0),IFERROR(VLOOKUP(G62,'Справочники'!$J$5:$K$12,2,FALSE),0)))</x:f>
        <x:v>0.6375000000000001</x:v>
      </x:c>
      <x:c r="P62" s="36" t="str"/>
    </x:row>
    <x:row r="63" ht="44" customHeight="1">
      <x:c r="A63" s="39" t="str">
        <x:v>RTE-09</x:v>
      </x:c>
      <x:c r="B63" s="36" t="str">
        <x:v>Route slice 09</x:v>
      </x:c>
      <x:c r="C63" s="36" t="str">
        <x:v>Route execution slice</x:v>
      </x:c>
      <x:c r="D63" s="42" t="str">
        <x:v>Review</x:v>
      </x:c>
      <x:c r="E63" s="42" t="str">
        <x:v>Approved</x:v>
      </x:c>
      <x:c r="F63" s="42" t="str">
        <x:v>Local/mock</x:v>
      </x:c>
      <x:c r="G63" s="42" t="str">
        <x:v>Частично</x:v>
      </x:c>
      <x:c r="H63" s="42" t="str">
        <x:v>Review</x:v>
      </x:c>
      <x:c r="I63" s="42" t="str">
        <x:v>P0</x:v>
      </x:c>
      <x:c r="J63" s="36" t="str">
        <x:v>Close review evidence</x:v>
      </x:c>
      <x:c r="K63" s="36" t="str"/>
      <x:c r="L63" s="36" t="str">
        <x:v>Route</x:v>
      </x:c>
      <x:c r="M63" s="36" t="str">
        <x:v>docs/product/ROUTE_IMPLEMENTATION_ROADMAP.md</x:v>
      </x:c>
      <x:c r="N63" s="45" t="n">
        <x:v>46250.5</x:v>
      </x:c>
      <x:c r="O63" s="48" t="n">
        <x:f>IF(B63="","",AVERAGE(IFERROR(VLOOKUP(D63,'Справочники'!$A$5:$B$14,2,FALSE),0),IFERROR(VLOOKUP(E63,'Справочники'!$D$5:$E$12,2,FALSE),0),IFERROR(VLOOKUP(F63,'Справочники'!$G$5:$H$12,2,FALSE),0),IFERROR(VLOOKUP(G63,'Справочники'!$J$5:$K$12,2,FALSE),0)))</x:f>
        <x:v>0.6375000000000001</x:v>
      </x:c>
      <x:c r="P63" s="36" t="str"/>
    </x:row>
    <x:row r="64" ht="44" customHeight="1">
      <x:c r="A64" s="39" t="str">
        <x:v>RTE-10</x:v>
      </x:c>
      <x:c r="B64" s="36" t="str">
        <x:v>Route slice 10</x:v>
      </x:c>
      <x:c r="C64" s="36" t="str">
        <x:v>Route execution slice</x:v>
      </x:c>
      <x:c r="D64" s="42" t="str">
        <x:v>Review</x:v>
      </x:c>
      <x:c r="E64" s="42" t="str">
        <x:v>Approved</x:v>
      </x:c>
      <x:c r="F64" s="42" t="str">
        <x:v>Local/mock</x:v>
      </x:c>
      <x:c r="G64" s="42" t="str">
        <x:v>Частично</x:v>
      </x:c>
      <x:c r="H64" s="42" t="str">
        <x:v>Review</x:v>
      </x:c>
      <x:c r="I64" s="42" t="str">
        <x:v>P0</x:v>
      </x:c>
      <x:c r="J64" s="36" t="str">
        <x:v>Close review evidence</x:v>
      </x:c>
      <x:c r="K64" s="36" t="str"/>
      <x:c r="L64" s="36" t="str">
        <x:v>Route</x:v>
      </x:c>
      <x:c r="M64" s="36" t="str">
        <x:v>docs/product/ROUTE_IMPLEMENTATION_ROADMAP.md</x:v>
      </x:c>
      <x:c r="N64" s="45" t="n">
        <x:v>46250.5</x:v>
      </x:c>
      <x:c r="O64" s="48" t="n">
        <x:f>IF(B64="","",AVERAGE(IFERROR(VLOOKUP(D64,'Справочники'!$A$5:$B$14,2,FALSE),0),IFERROR(VLOOKUP(E64,'Справочники'!$D$5:$E$12,2,FALSE),0),IFERROR(VLOOKUP(F64,'Справочники'!$G$5:$H$12,2,FALSE),0),IFERROR(VLOOKUP(G64,'Справочники'!$J$5:$K$12,2,FALSE),0)))</x:f>
        <x:v>0.6375000000000001</x:v>
      </x:c>
      <x:c r="P64" s="36" t="str"/>
    </x:row>
    <x:row r="65" ht="44" customHeight="1">
      <x:c r="A65" s="39" t="str">
        <x:v>RTE-11</x:v>
      </x:c>
      <x:c r="B65" s="36" t="str">
        <x:v>Route slice 11</x:v>
      </x:c>
      <x:c r="C65" s="36" t="str">
        <x:v>Route execution slice</x:v>
      </x:c>
      <x:c r="D65" s="42" t="str">
        <x:v>Review</x:v>
      </x:c>
      <x:c r="E65" s="42" t="str">
        <x:v>Approved</x:v>
      </x:c>
      <x:c r="F65" s="42" t="str">
        <x:v>Local/mock</x:v>
      </x:c>
      <x:c r="G65" s="42" t="str">
        <x:v>Device pending</x:v>
      </x:c>
      <x:c r="H65" s="42" t="str">
        <x:v>Review</x:v>
      </x:c>
      <x:c r="I65" s="42" t="str">
        <x:v>P0</x:v>
      </x:c>
      <x:c r="J65" s="36" t="str">
        <x:v>Android/iOS real-device acceptance</x:v>
      </x:c>
      <x:c r="K65" s="36" t="str">
        <x:v>Real devices</x:v>
      </x:c>
      <x:c r="L65" s="36" t="str">
        <x:v>Route</x:v>
      </x:c>
      <x:c r="M65" s="36" t="str">
        <x:v>docs/product/ROUTE_IMPLEMENTATION_ROADMAP.md</x:v>
      </x:c>
      <x:c r="N65" s="45" t="n">
        <x:v>46250.5</x:v>
      </x:c>
      <x:c r="O65" s="48" t="n">
        <x:f>IF(B65="","",AVERAGE(IFERROR(VLOOKUP(D65,'Справочники'!$A$5:$B$14,2,FALSE),0),IFERROR(VLOOKUP(E65,'Справочники'!$D$5:$E$12,2,FALSE),0),IFERROR(VLOOKUP(F65,'Справочники'!$G$5:$H$12,2,FALSE),0),IFERROR(VLOOKUP(G65,'Справочники'!$J$5:$K$12,2,FALSE),0)))</x:f>
        <x:v>0.6250000000000001</x:v>
      </x:c>
      <x:c r="P65" s="36" t="str"/>
    </x:row>
    <x:row r="66" ht="44" customHeight="1">
      <x:c r="A66" s="39" t="str">
        <x:v>RTE-12</x:v>
      </x:c>
      <x:c r="B66" s="36" t="str">
        <x:v>Route slice 12</x:v>
      </x:c>
      <x:c r="C66" s="36" t="str">
        <x:v>Route execution slice</x:v>
      </x:c>
      <x:c r="D66" s="42" t="str">
        <x:v>План</x:v>
      </x:c>
      <x:c r="E66" s="42" t="str">
        <x:v>Approved</x:v>
      </x:c>
      <x:c r="F66" s="42" t="str">
        <x:v>Отсутствует</x:v>
      </x:c>
      <x:c r="G66" s="42" t="str">
        <x:v>Не запускались</x:v>
      </x:c>
      <x:c r="H66" s="42" t="str">
        <x:v>Planned</x:v>
      </x:c>
      <x:c r="I66" s="42" t="str">
        <x:v>P1</x:v>
      </x:c>
      <x:c r="J66" s="36" t="str">
        <x:v>Production adapters and operations</x:v>
      </x:c>
      <x:c r="K66" s="36" t="str">
        <x:v>Backend/media/privacy</x:v>
      </x:c>
      <x:c r="L66" s="36" t="str">
        <x:v>Route</x:v>
      </x:c>
      <x:c r="M66" s="36" t="str">
        <x:v>docs/product/ROUTE_IMPLEMENTATION_ROADMAP.md</x:v>
      </x:c>
      <x:c r="N66" s="45" t="n">
        <x:v>46250.5</x:v>
      </x:c>
      <x:c r="O66" s="48" t="n">
        <x:f>IF(B66="","",AVERAGE(IFERROR(VLOOKUP(D66,'Справочники'!$A$5:$B$14,2,FALSE),0),IFERROR(VLOOKUP(E66,'Справочники'!$D$5:$E$12,2,FALSE),0),IFERROR(VLOOKUP(F66,'Справочники'!$G$5:$H$12,2,FALSE),0),IFERROR(VLOOKUP(G66,'Справочники'!$J$5:$K$12,2,FALSE),0)))</x:f>
        <x:v>0.25</x:v>
      </x:c>
      <x:c r="P66" s="36" t="str"/>
    </x:row>
    <x:row r="67" ht="44" customHeight="1">
      <x:c r="A67" s="39"/>
      <x:c r="B67" s="36"/>
      <x:c r="C67" s="36"/>
      <x:c r="D67" s="42"/>
      <x:c r="E67" s="42"/>
      <x:c r="F67" s="42"/>
      <x:c r="G67" s="42"/>
      <x:c r="H67" s="42"/>
      <x:c r="I67" s="42"/>
      <x:c r="J67" s="36"/>
      <x:c r="K67" s="36"/>
      <x:c r="L67" s="36"/>
      <x:c r="M67" s="36"/>
      <x:c r="N67" s="45"/>
      <x:c r="O67" s="48" t="str">
        <x:f>IF(B67="","",AVERAGE(IFERROR(VLOOKUP(D67,'Справочники'!$A$5:$B$14,2,FALSE),0),IFERROR(VLOOKUP(E67,'Справочники'!$D$5:$E$12,2,FALSE),0),IFERROR(VLOOKUP(F67,'Справочники'!$G$5:$H$12,2,FALSE),0),IFERROR(VLOOKUP(G67,'Справочники'!$J$5:$K$12,2,FALSE),0)))</x:f>
      </x:c>
      <x:c r="P67" s="36"/>
    </x:row>
    <x:row r="68" ht="44" customHeight="1">
      <x:c r="A68" s="39"/>
      <x:c r="B68" s="36"/>
      <x:c r="C68" s="36"/>
      <x:c r="D68" s="42"/>
      <x:c r="E68" s="42"/>
      <x:c r="F68" s="42"/>
      <x:c r="G68" s="42"/>
      <x:c r="H68" s="42"/>
      <x:c r="I68" s="42"/>
      <x:c r="J68" s="36"/>
      <x:c r="K68" s="36"/>
      <x:c r="L68" s="36"/>
      <x:c r="M68" s="36"/>
      <x:c r="N68" s="45"/>
      <x:c r="O68" s="48" t="str">
        <x:f>IF(B68="","",AVERAGE(IFERROR(VLOOKUP(D68,'Справочники'!$A$5:$B$14,2,FALSE),0),IFERROR(VLOOKUP(E68,'Справочники'!$D$5:$E$12,2,FALSE),0),IFERROR(VLOOKUP(F68,'Справочники'!$G$5:$H$12,2,FALSE),0),IFERROR(VLOOKUP(G68,'Справочники'!$J$5:$K$12,2,FALSE),0)))</x:f>
      </x:c>
      <x:c r="P68" s="36"/>
    </x:row>
    <x:row r="69" ht="44" customHeight="1">
      <x:c r="A69" s="39"/>
      <x:c r="B69" s="36"/>
      <x:c r="C69" s="36"/>
      <x:c r="D69" s="42"/>
      <x:c r="E69" s="42"/>
      <x:c r="F69" s="42"/>
      <x:c r="G69" s="42"/>
      <x:c r="H69" s="42"/>
      <x:c r="I69" s="42"/>
      <x:c r="J69" s="36"/>
      <x:c r="K69" s="36"/>
      <x:c r="L69" s="36"/>
      <x:c r="M69" s="36"/>
      <x:c r="N69" s="45"/>
      <x:c r="O69" s="48" t="str">
        <x:f>IF(B69="","",AVERAGE(IFERROR(VLOOKUP(D69,'Справочники'!$A$5:$B$14,2,FALSE),0),IFERROR(VLOOKUP(E69,'Справочники'!$D$5:$E$12,2,FALSE),0),IFERROR(VLOOKUP(F69,'Справочники'!$G$5:$H$12,2,FALSE),0),IFERROR(VLOOKUP(G69,'Справочники'!$J$5:$K$12,2,FALSE),0)))</x:f>
      </x:c>
      <x:c r="P69" s="36"/>
    </x:row>
    <x:row r="70" ht="44" customHeight="1">
      <x:c r="A70" s="39"/>
      <x:c r="B70" s="36"/>
      <x:c r="C70" s="36"/>
      <x:c r="D70" s="42"/>
      <x:c r="E70" s="42"/>
      <x:c r="F70" s="42"/>
      <x:c r="G70" s="42"/>
      <x:c r="H70" s="42"/>
      <x:c r="I70" s="42"/>
      <x:c r="J70" s="36"/>
      <x:c r="K70" s="36"/>
      <x:c r="L70" s="36"/>
      <x:c r="M70" s="36"/>
      <x:c r="N70" s="45"/>
      <x:c r="O70" s="48" t="str">
        <x:f>IF(B70="","",AVERAGE(IFERROR(VLOOKUP(D70,'Справочники'!$A$5:$B$14,2,FALSE),0),IFERROR(VLOOKUP(E70,'Справочники'!$D$5:$E$12,2,FALSE),0),IFERROR(VLOOKUP(F70,'Справочники'!$G$5:$H$12,2,FALSE),0),IFERROR(VLOOKUP(G70,'Справочники'!$J$5:$K$12,2,FALSE),0)))</x:f>
      </x:c>
      <x:c r="P70" s="36"/>
    </x:row>
    <x:row r="71" ht="44" customHeight="1">
      <x:c r="A71" s="39"/>
      <x:c r="B71" s="36"/>
      <x:c r="C71" s="36"/>
      <x:c r="D71" s="42"/>
      <x:c r="E71" s="42"/>
      <x:c r="F71" s="42"/>
      <x:c r="G71" s="42"/>
      <x:c r="H71" s="42"/>
      <x:c r="I71" s="42"/>
      <x:c r="J71" s="36"/>
      <x:c r="K71" s="36"/>
      <x:c r="L71" s="36"/>
      <x:c r="M71" s="36"/>
      <x:c r="N71" s="45"/>
      <x:c r="O71" s="48" t="str">
        <x:f>IF(B71="","",AVERAGE(IFERROR(VLOOKUP(D71,'Справочники'!$A$5:$B$14,2,FALSE),0),IFERROR(VLOOKUP(E71,'Справочники'!$D$5:$E$12,2,FALSE),0),IFERROR(VLOOKUP(F71,'Справочники'!$G$5:$H$12,2,FALSE),0),IFERROR(VLOOKUP(G71,'Справочники'!$J$5:$K$12,2,FALSE),0)))</x:f>
      </x:c>
      <x:c r="P71" s="36"/>
    </x:row>
    <x:row r="72" ht="44" customHeight="1">
      <x:c r="A72" s="39"/>
      <x:c r="B72" s="36"/>
      <x:c r="C72" s="36"/>
      <x:c r="D72" s="42"/>
      <x:c r="E72" s="42"/>
      <x:c r="F72" s="42"/>
      <x:c r="G72" s="42"/>
      <x:c r="H72" s="42"/>
      <x:c r="I72" s="42"/>
      <x:c r="J72" s="36"/>
      <x:c r="K72" s="36"/>
      <x:c r="L72" s="36"/>
      <x:c r="M72" s="36"/>
      <x:c r="N72" s="45"/>
      <x:c r="O72" s="48" t="str">
        <x:f>IF(B72="","",AVERAGE(IFERROR(VLOOKUP(D72,'Справочники'!$A$5:$B$14,2,FALSE),0),IFERROR(VLOOKUP(E72,'Справочники'!$D$5:$E$12,2,FALSE),0),IFERROR(VLOOKUP(F72,'Справочники'!$G$5:$H$12,2,FALSE),0),IFERROR(VLOOKUP(G72,'Справочники'!$J$5:$K$12,2,FALSE),0)))</x:f>
      </x:c>
      <x:c r="P72" s="36"/>
    </x:row>
    <x:row r="73" ht="44" customHeight="1">
      <x:c r="A73" s="39"/>
      <x:c r="B73" s="36"/>
      <x:c r="C73" s="36"/>
      <x:c r="D73" s="42"/>
      <x:c r="E73" s="42"/>
      <x:c r="F73" s="42"/>
      <x:c r="G73" s="42"/>
      <x:c r="H73" s="42"/>
      <x:c r="I73" s="42"/>
      <x:c r="J73" s="36"/>
      <x:c r="K73" s="36"/>
      <x:c r="L73" s="36"/>
      <x:c r="M73" s="36"/>
      <x:c r="N73" s="45"/>
      <x:c r="O73" s="48" t="str">
        <x:f>IF(B73="","",AVERAGE(IFERROR(VLOOKUP(D73,'Справочники'!$A$5:$B$14,2,FALSE),0),IFERROR(VLOOKUP(E73,'Справочники'!$D$5:$E$12,2,FALSE),0),IFERROR(VLOOKUP(F73,'Справочники'!$G$5:$H$12,2,FALSE),0),IFERROR(VLOOKUP(G73,'Справочники'!$J$5:$K$12,2,FALSE),0)))</x:f>
      </x:c>
      <x:c r="P73" s="36"/>
    </x:row>
    <x:row r="74" ht="44" customHeight="1">
      <x:c r="A74" s="39"/>
      <x:c r="B74" s="36"/>
      <x:c r="C74" s="36"/>
      <x:c r="D74" s="42"/>
      <x:c r="E74" s="42"/>
      <x:c r="F74" s="42"/>
      <x:c r="G74" s="42"/>
      <x:c r="H74" s="42"/>
      <x:c r="I74" s="42"/>
      <x:c r="J74" s="36"/>
      <x:c r="K74" s="36"/>
      <x:c r="L74" s="36"/>
      <x:c r="M74" s="36"/>
      <x:c r="N74" s="45"/>
      <x:c r="O74" s="48" t="str">
        <x:f>IF(B74="","",AVERAGE(IFERROR(VLOOKUP(D74,'Справочники'!$A$5:$B$14,2,FALSE),0),IFERROR(VLOOKUP(E74,'Справочники'!$D$5:$E$12,2,FALSE),0),IFERROR(VLOOKUP(F74,'Справочники'!$G$5:$H$12,2,FALSE),0),IFERROR(VLOOKUP(G74,'Справочники'!$J$5:$K$12,2,FALSE),0)))</x:f>
      </x:c>
      <x:c r="P74" s="36"/>
    </x:row>
    <x:row r="75" ht="44" customHeight="1">
      <x:c r="A75" s="40"/>
      <x:c r="B75" s="37"/>
      <x:c r="C75" s="37"/>
      <x:c r="D75" s="43"/>
      <x:c r="E75" s="43"/>
      <x:c r="F75" s="43"/>
      <x:c r="G75" s="43"/>
      <x:c r="H75" s="43"/>
      <x:c r="I75" s="43"/>
      <x:c r="J75" s="37"/>
      <x:c r="K75" s="37"/>
      <x:c r="L75" s="37"/>
      <x:c r="M75" s="37"/>
      <x:c r="N75" s="46"/>
      <x:c r="O75" s="49" t="str">
        <x:f>IF(B75="","",AVERAGE(IFERROR(VLOOKUP(D75,'Справочники'!$A$5:$B$14,2,FALSE),0),IFERROR(VLOOKUP(E75,'Справочники'!$D$5:$E$12,2,FALSE),0),IFERROR(VLOOKUP(F75,'Справочники'!$G$5:$H$12,2,FALSE),0),IFERROR(VLOOKUP(G75,'Справочники'!$J$5:$K$12,2,FALSE),0)))</x:f>
      </x:c>
      <x:c r="P75" s="37"/>
    </x:row>
  </x:sheetData>
  <x:mergeCells>
    <x:mergeCell ref="A1:P1"/>
    <x:mergeCell ref="A2:P2"/>
    <x:mergeCell ref="A3:B3"/>
    <x:mergeCell ref="C3:D3"/>
    <x:mergeCell ref="E3:F3"/>
    <x:mergeCell ref="G3:H3"/>
    <x:mergeCell ref="I3:J3"/>
    <x:mergeCell ref="K3:L3"/>
    <x:mergeCell ref="M3:N3"/>
    <x:mergeCell ref="O3:P3"/>
  </x:mergeCells>
  <x:conditionalFormatting sqref="D6:D75">
    <x:cfRule type="containsText" dxfId="24" priority="1" operator="containsText" text="Готово local/mock"/>
    <x:cfRule type="expression" dxfId="25" priority="2">
      <x:formula>$D6="Готово"</x:formula>
    </x:cfRule>
    <x:cfRule type="containsText" dxfId="26" priority="3" operator="containsText" text="Review"/>
    <x:cfRule type="containsText" dxfId="27" priority="4" operator="containsText" text="Draft"/>
    <x:cfRule type="containsText" dxfId="28" priority="5" operator="containsText" text="Отсутствует"/>
    <x:cfRule type="containsText" dxfId="29" priority="6" operator="containsText" text="В работе"/>
  </x:conditionalFormatting>
  <x:conditionalFormatting sqref="E6:E75">
    <x:cfRule type="containsText" dxfId="30" priority="7" operator="containsText" text="Accepted"/>
    <x:cfRule type="containsText" dxfId="31" priority="8" operator="containsText" text="Canonical"/>
    <x:cfRule type="containsText" dxfId="32" priority="9" operator="containsText" text="Approved"/>
    <x:cfRule type="containsText" dxfId="33" priority="10" operator="containsText" text="Review"/>
    <x:cfRule type="containsText" dxfId="34" priority="11" operator="containsText" text="Draft"/>
    <x:cfRule type="containsText" dxfId="35" priority="12" operator="containsText" text="Отсутствует"/>
  </x:conditionalFormatting>
  <x:conditionalFormatting sqref="F6:F75">
    <x:cfRule type="expression" dxfId="36" priority="13">
      <x:formula>$F6="Production"</x:formula>
    </x:cfRule>
    <x:cfRule type="expression" dxfId="37" priority="14">
      <x:formula>$F6="Local/mock"</x:formula>
    </x:cfRule>
    <x:cfRule type="expression" dxfId="38" priority="15">
      <x:formula>$F6="Pure domain"</x:formula>
    </x:cfRule>
    <x:cfRule type="expression" dxfId="39" priority="16">
      <x:formula>$F6="Отсутствует"</x:formula>
    </x:cfRule>
    <x:cfRule type="expression" dxfId="40" priority="17">
      <x:formula>$F6="Gated"</x:formula>
    </x:cfRule>
  </x:conditionalFormatting>
  <x:conditionalFormatting sqref="G6:G75">
    <x:cfRule type="containsText" dxfId="41" priority="18" operator="containsText" text="Текущие зелёные"/>
    <x:cfRule type="containsText" dxfId="42" priority="19" operator="containsText" text="Исторические зелёные"/>
    <x:cfRule type="containsText" dxfId="43" priority="20" operator="containsText" text="Device pending"/>
    <x:cfRule type="containsText" dxfId="44" priority="21" operator="containsText" text="Не запускались"/>
  </x:conditionalFormatting>
  <x:conditionalFormatting sqref="I6:I75">
    <x:cfRule type="containsText" dxfId="45" priority="22" operator="containsText" text="P0"/>
    <x:cfRule type="containsText" dxfId="46" priority="23" operator="containsText" text="P1"/>
    <x:cfRule type="containsText" dxfId="47" priority="24" operator="containsText" text="P2"/>
  </x:conditionalFormatting>
  <x:conditionalFormatting sqref="O6:O75">
    <x:cfRule type="dataBar" priority="25">
      <x:dataBar>
        <x:cfvo type="min"/>
        <x:cfvo type="max"/>
        <x:color rgb="FF2F6B5C"/>
      </x:dataBar>
      <x:extLst>
        <x:ext xmlns:x14="http://schemas.microsoft.com/office/spreadsheetml/2009/9/main" uri="{B025F937-C7B1-47D3-B67F-A62EFF666E3E}">
          <x14:id>{B95C015E-64E7-AC1B-25B4-24CF4D480E14}</x14:id>
        </x:ext>
      </x:extLst>
    </x:cfRule>
  </x:conditionalFormatting>
  <x:dataValidations count="5">
    <x:dataValidation type="list" sqref="D6:D75">
      <x:formula1>'Справочники'!$A$5:$A$14</x:formula1>
    </x:dataValidation>
    <x:dataValidation type="list" sqref="E6:E75">
      <x:formula1>'Справочники'!$D$5:$D$12</x:formula1>
    </x:dataValidation>
    <x:dataValidation type="list" sqref="F6:F75">
      <x:formula1>'Справочники'!$G$5:$G$12</x:formula1>
    </x:dataValidation>
    <x:dataValidation type="list" sqref="G6:G75">
      <x:formula1>'Справочники'!$J$5:$J$12</x:formula1>
    </x:dataValidation>
    <x:dataValidation type="list" sqref="I6:I75">
      <x:formula1>'Справочники'!$M$5:$M$9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f65bdfe798f4f97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5" id="{B95C015E-64E7-AC1B-25B4-24CF4D480E14}">
            <x14:dataBar gradient="1">
              <x14:cfvo type="min"/>
              <x14:cfvo type="max"/>
              <x14:fillColor rgb="FF2F6B5C"/>
            </x14:dataBar>
          </x14:cfRule>
          <xm:sqref>O6:O75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1" hidden="0" customWidth="1"/>
    <x:col min="3" max="3" width="20" hidden="0" customWidth="1"/>
    <x:col min="4" max="4" width="18" hidden="0" customWidth="1"/>
    <x:col min="5" max="5" width="20" hidden="0" customWidth="1"/>
    <x:col min="6" max="6" width="16" hidden="0" customWidth="1"/>
    <x:col min="7" max="7" width="20" hidden="0" customWidth="1"/>
    <x:col min="8" max="8" width="25" hidden="0" customWidth="1"/>
    <x:col min="9" max="9" width="11" hidden="0" customWidth="1"/>
    <x:col min="10" max="10" width="40" hidden="0" customWidth="1"/>
    <x:col min="11" max="11" width="28" hidden="0" customWidth="1"/>
    <x:col min="12" max="12" width="20" hidden="0" customWidth="1"/>
    <x:col min="13" max="13" width="48" hidden="0" customWidth="1"/>
    <x:col min="14" max="14" width="14" hidden="0" customWidth="1"/>
    <x:col min="15" max="15" width="13" hidden="0" customWidth="1"/>
    <x:col min="16" max="16" width="34" hidden="0" customWidth="1"/>
  </x:cols>
  <x:sheetData>
    <x:row r="1" ht="38" customHeight="1">
      <x:c r="A1" s="3" t="str">
        <x:v>IDENTITY &amp; PROFILES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2" customHeight="1">
      <x:c r="A2" s="7" t="str">
        <x:v>Product layer · Viewer, Creator, Professional Page, public profiles and authority boundaries.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3">
      <x:c r="A3" s="12" t="e">
        <x:f>HYPERLINK("#'Паук'!A1","← Вернуться к пауку")</x:f>
        <x:v>HYPERLINK is not implemented. linkLocation=#'Паук'!A1, friendlyName=← Вернуться к пауку</x:v>
      </x:c>
      <x:c r="B3" s="12"/>
      <x:c r="C3" t="str">
        <x:v>Прогресс</x:v>
      </x:c>
      <x:c r="E3" s="15" t="n">
        <x:f>IFERROR(SUM(O6:O75)/COUNTA(B6:B75),0)</x:f>
        <x:v>0.4880434782608695</x:v>
      </x:c>
      <x:c r="F3" s="15"/>
      <x:c r="G3" t="str">
        <x:v>Открытые P0/P1</x:v>
      </x:c>
      <x:c r="I3" s="18" t="n">
        <x:f>COUNTIFS(I6:I75,"P0",O6:O75,"&lt;1")+COUNTIFS(I6:I75,"P1",O6:O75,"&lt;1")</x:f>
        <x:v>23</x:v>
      </x:c>
      <x:c r="J3" s="18"/>
      <x:c r="K3" t="str">
        <x:v>Runtime отсутствует</x:v>
      </x:c>
      <x:c r="M3" s="21" t="n">
        <x:f>COUNTIF(F6:F75,"Отсутствует")</x:f>
        <x:v>5</x:v>
      </x:c>
      <x:c r="N3" s="21"/>
      <x:c r="O3" s="24" t="e">
        <x:f>HYPERLINK("#'Реестр файлов'!A1","Реестр файлов →")</x:f>
        <x:v>HYPERLINK is not implemented. linkLocation=#'Реестр файлов'!A1, friendlyName=Реестр файлов →</x:v>
      </x:c>
      <x:c r="P3" s="24"/>
    </x:row>
    <x:row r="5">
      <x:c r="A5" s="27" t="str">
        <x:v>ID</x:v>
      </x:c>
      <x:c r="B5" s="27" t="str">
        <x:v>Подсистема / deliverable</x:v>
      </x:c>
      <x:c r="C5" s="27" t="str">
        <x:v>Тип</x:v>
      </x:c>
      <x:c r="D5" s="27" t="str">
        <x:v>Артефакт</x:v>
      </x:c>
      <x:c r="E5" s="27" t="str">
        <x:v>Документация</x:v>
      </x:c>
      <x:c r="F5" s="27" t="str">
        <x:v>Runtime</x:v>
      </x:c>
      <x:c r="G5" s="27" t="str">
        <x:v>Проверки</x:v>
      </x:c>
      <x:c r="H5" s="27" t="str">
        <x:v>Gate / authority</x:v>
      </x:c>
      <x:c r="I5" s="27" t="str">
        <x:v>Приоритет</x:v>
      </x:c>
      <x:c r="J5" s="27" t="str">
        <x:v>Следующее действие</x:v>
      </x:c>
      <x:c r="K5" s="27" t="str">
        <x:v>Блокер</x:v>
      </x:c>
      <x:c r="L5" s="27" t="str">
        <x:v>Owner</x:v>
      </x:c>
      <x:c r="M5" s="27" t="str">
        <x:v>Источник / путь</x:v>
      </x:c>
      <x:c r="N5" s="27" t="str">
        <x:v>Обновлено</x:v>
      </x:c>
      <x:c r="O5" s="27" t="str">
        <x:v>Готовность</x:v>
      </x:c>
      <x:c r="P5" s="27" t="str">
        <x:v>Комментарий</x:v>
      </x:c>
    </x:row>
    <x:row r="6" ht="44" customHeight="1">
      <x:c r="A6" s="38" t="str">
        <x:v>IDP-01</x:v>
      </x:c>
      <x:c r="B6" s="35" t="str">
        <x:v>Viewer = authenticated User</x:v>
      </x:c>
      <x:c r="C6" s="35" t="str">
        <x:v>Identity policy</x:v>
      </x:c>
      <x:c r="D6" s="41" t="str">
        <x:v>Готово</x:v>
      </x:c>
      <x:c r="E6" s="41" t="str">
        <x:v>Accepted</x:v>
      </x:c>
      <x:c r="F6" s="41" t="str">
        <x:v>Local/mock</x:v>
      </x:c>
      <x:c r="G6" s="41" t="str">
        <x:v>Частично</x:v>
      </x:c>
      <x:c r="H6" s="41" t="str">
        <x:v>ADR 0015</x:v>
      </x:c>
      <x:c r="I6" s="41" t="str">
        <x:v>P0</x:v>
      </x:c>
      <x:c r="J6" s="35" t="str">
        <x:v>Preserve protected surfaces</x:v>
      </x:c>
      <x:c r="K6" s="35" t="str">
        <x:v>Production Auth absent</x:v>
      </x:c>
      <x:c r="L6" s="35" t="str">
        <x:v>Identity</x:v>
      </x:c>
      <x:c r="M6" s="35" t="str">
        <x:v>docs/adr/0015-authenticated-viewer-verified-creator-professional-page.md</x:v>
      </x:c>
      <x:c r="N6" s="44" t="n">
        <x:v>46250</x:v>
      </x:c>
      <x:c r="O6" s="47" t="n">
        <x:f>IF(B6="","",AVERAGE(IFERROR(VLOOKUP(D6,'Справочники'!$A$5:$B$14,2,FALSE),0),IFERROR(VLOOKUP(E6,'Справочники'!$D$5:$E$12,2,FALSE),0),IFERROR(VLOOKUP(F6,'Справочники'!$G$5:$H$12,2,FALSE),0),IFERROR(VLOOKUP(G6,'Справочники'!$J$5:$K$12,2,FALSE),0)))</x:f>
        <x:v>0.7374999999999999</x:v>
      </x:c>
      <x:c r="P6" s="35" t="str"/>
    </x:row>
    <x:row r="7" ht="44" customHeight="1">
      <x:c r="A7" s="39" t="str">
        <x:v>IDP-02</x:v>
      </x:c>
      <x:c r="B7" s="36" t="str">
        <x:v>Mock Auth</x:v>
      </x:c>
      <x:c r="C7" s="36" t="str">
        <x:v>Mobile runtime</x:v>
      </x:c>
      <x:c r="D7" s="42" t="str">
        <x:v>Готово local/mock</x:v>
      </x:c>
      <x:c r="E7" s="42" t="str">
        <x:v>Approved</x:v>
      </x:c>
      <x:c r="F7" s="42" t="str">
        <x:v>Local/mock</x:v>
      </x:c>
      <x:c r="G7" s="42" t="str">
        <x:v>Частично</x:v>
      </x:c>
      <x:c r="H7" s="42" t="str">
        <x:v>Stabilization</x:v>
      </x:c>
      <x:c r="I7" s="42" t="str">
        <x:v>P0</x:v>
      </x:c>
      <x:c r="J7" s="36" t="str">
        <x:v>Close recovery/session/router e2e</x:v>
      </x:c>
      <x:c r="K7" s="36" t="str">
        <x:v>Current gate unknown</x:v>
      </x:c>
      <x:c r="L7" s="36" t="str">
        <x:v>Identity</x:v>
      </x:c>
      <x:c r="M7" s="36" t="str">
        <x:v>apps/mobile/lib/features/auth</x:v>
      </x:c>
      <x:c r="N7" s="45" t="n">
        <x:v>46250</x:v>
      </x:c>
      <x:c r="O7" s="48" t="n">
        <x:f>IF(B7="","",AVERAGE(IFERROR(VLOOKUP(D7,'Справочники'!$A$5:$B$14,2,FALSE),0),IFERROR(VLOOKUP(E7,'Справочники'!$D$5:$E$12,2,FALSE),0),IFERROR(VLOOKUP(F7,'Справочники'!$G$5:$H$12,2,FALSE),0),IFERROR(VLOOKUP(G7,'Справочники'!$J$5:$K$12,2,FALSE),0)))</x:f>
        <x:v>0.6625</x:v>
      </x:c>
      <x:c r="P7" s="36" t="str"/>
    </x:row>
    <x:row r="8" ht="44" customHeight="1">
      <x:c r="A8" s="39" t="str">
        <x:v>IDP-03</x:v>
      </x:c>
      <x:c r="B8" s="36" t="str">
        <x:v>Google/Apple production Auth</x:v>
      </x:c>
      <x:c r="C8" s="36" t="str">
        <x:v>Production runtime</x:v>
      </x:c>
      <x:c r="D8" s="42" t="str">
        <x:v>План</x:v>
      </x:c>
      <x:c r="E8" s="42" t="str">
        <x:v>Approved</x:v>
      </x:c>
      <x:c r="F8" s="42" t="str">
        <x:v>Отсутствует</x:v>
      </x:c>
      <x:c r="G8" s="42" t="str">
        <x:v>Не запускались</x:v>
      </x:c>
      <x:c r="H8" s="42" t="str">
        <x:v>R2/G2</x:v>
      </x:c>
      <x:c r="I8" s="42" t="str">
        <x:v>P0</x:v>
      </x:c>
      <x:c r="J8" s="36" t="str">
        <x:v>Firebase Auth + account linking/recovery</x:v>
      </x:c>
      <x:c r="K8" s="36" t="str">
        <x:v>OD-08</x:v>
      </x:c>
      <x:c r="L8" s="36" t="str">
        <x:v>Identity</x:v>
      </x:c>
      <x:c r="M8" s="36" t="str">
        <x:v>docs/product/IDENTITY_PUBLISHER_SLICE_SPEC.md</x:v>
      </x:c>
      <x:c r="N8" s="45"/>
      <x:c r="O8" s="48" t="n">
        <x:f>IF(B8="","",AVERAGE(IFERROR(VLOOKUP(D8,'Справочники'!$A$5:$B$14,2,FALSE),0),IFERROR(VLOOKUP(E8,'Справочники'!$D$5:$E$12,2,FALSE),0),IFERROR(VLOOKUP(F8,'Справочники'!$G$5:$H$12,2,FALSE),0),IFERROR(VLOOKUP(G8,'Справочники'!$J$5:$K$12,2,FALSE),0)))</x:f>
        <x:v>0.25</x:v>
      </x:c>
      <x:c r="P8" s="36" t="str"/>
    </x:row>
    <x:row r="9" ht="44" customHeight="1">
      <x:c r="A9" s="39" t="str">
        <x:v>IDP-04</x:v>
      </x:c>
      <x:c r="B9" s="36" t="str">
        <x:v>Creator verification</x:v>
      </x:c>
      <x:c r="C9" s="36" t="str">
        <x:v>Authority</x:v>
      </x:c>
      <x:c r="D9" s="42" t="str">
        <x:v>Частично</x:v>
      </x:c>
      <x:c r="E9" s="42" t="str">
        <x:v>Approved</x:v>
      </x:c>
      <x:c r="F9" s="42" t="str">
        <x:v>Local/mock</x:v>
      </x:c>
      <x:c r="G9" s="42" t="str">
        <x:v>Частично</x:v>
      </x:c>
      <x:c r="H9" s="42" t="str">
        <x:v>Server-owned required</x:v>
      </x:c>
      <x:c r="I9" s="42" t="str">
        <x:v>P0</x:v>
      </x:c>
      <x:c r="J9" s="36" t="str">
        <x:v>Production verification and grants</x:v>
      </x:c>
      <x:c r="K9" s="36" t="str">
        <x:v>BCK-06</x:v>
      </x:c>
      <x:c r="L9" s="36" t="str">
        <x:v>Identity</x:v>
      </x:c>
      <x:c r="M9" s="36" t="str">
        <x:v>docs/product/IDENTITY_PUBLISHER_SLICE_SPEC.md</x:v>
      </x:c>
      <x:c r="N9" s="45" t="n">
        <x:v>46250</x:v>
      </x:c>
      <x:c r="O9" s="48" t="n">
        <x:f>IF(B9="","",AVERAGE(IFERROR(VLOOKUP(D9,'Справочники'!$A$5:$B$14,2,FALSE),0),IFERROR(VLOOKUP(E9,'Справочники'!$D$5:$E$12,2,FALSE),0),IFERROR(VLOOKUP(F9,'Справочники'!$G$5:$H$12,2,FALSE),0),IFERROR(VLOOKUP(G9,'Справочники'!$J$5:$K$12,2,FALSE),0)))</x:f>
        <x:v>0.5875</x:v>
      </x:c>
      <x:c r="P9" s="36" t="str"/>
    </x:row>
    <x:row r="10" ht="44" customHeight="1">
      <x:c r="A10" s="39" t="str">
        <x:v>IDP-05</x:v>
      </x:c>
      <x:c r="B10" s="36" t="str">
        <x:v>Professional Page membership</x:v>
      </x:c>
      <x:c r="C10" s="36" t="str">
        <x:v>Authority</x:v>
      </x:c>
      <x:c r="D10" s="42" t="str">
        <x:v>Review</x:v>
      </x:c>
      <x:c r="E10" s="42" t="str">
        <x:v>Approved</x:v>
      </x:c>
      <x:c r="F10" s="42" t="str">
        <x:v>Local/mock</x:v>
      </x:c>
      <x:c r="G10" s="42" t="str">
        <x:v>Частично</x:v>
      </x:c>
      <x:c r="H10" s="42" t="str">
        <x:v>IDP-03A</x:v>
      </x:c>
      <x:c r="I10" s="42" t="str">
        <x:v>P0</x:v>
      </x:c>
      <x:c r="J10" s="36" t="str">
        <x:v>Close final full gate</x:v>
      </x:c>
      <x:c r="K10" s="36" t="str">
        <x:v>Shared tree</x:v>
      </x:c>
      <x:c r="L10" s="36" t="str">
        <x:v>Identity</x:v>
      </x:c>
      <x:c r="M10" s="36" t="str">
        <x:v>docs/architecture/LAUNCH_STATUS.md</x:v>
      </x:c>
      <x:c r="N10" s="45" t="n">
        <x:v>46250</x:v>
      </x:c>
      <x:c r="O10" s="48" t="n">
        <x:f>IF(B10="","",AVERAGE(IFERROR(VLOOKUP(D10,'Справочники'!$A$5:$B$14,2,FALSE),0),IFERROR(VLOOKUP(E10,'Справочники'!$D$5:$E$12,2,FALSE),0),IFERROR(VLOOKUP(F10,'Справочники'!$G$5:$H$12,2,FALSE),0),IFERROR(VLOOKUP(G10,'Справочники'!$J$5:$K$12,2,FALSE),0)))</x:f>
        <x:v>0.6375000000000001</x:v>
      </x:c>
      <x:c r="P10" s="36" t="str"/>
    </x:row>
    <x:row r="11" ht="44" customHeight="1">
      <x:c r="A11" s="39" t="str">
        <x:v>IDP-06</x:v>
      </x:c>
      <x:c r="B11" s="36" t="str">
        <x:v>Workspace-aware shell</x:v>
      </x:c>
      <x:c r="C11" s="36" t="str">
        <x:v>Mobile runtime</x:v>
      </x:c>
      <x:c r="D11" s="42" t="str">
        <x:v>В работе</x:v>
      </x:c>
      <x:c r="E11" s="42" t="str">
        <x:v>Approved</x:v>
      </x:c>
      <x:c r="F11" s="42" t="str">
        <x:v>Local/mock</x:v>
      </x:c>
      <x:c r="G11" s="42" t="str">
        <x:v>Частично</x:v>
      </x:c>
      <x:c r="H11" s="42" t="str">
        <x:v>IDP-04A</x:v>
      </x:c>
      <x:c r="I11" s="42" t="str">
        <x:v>P0</x:v>
      </x:c>
      <x:c r="J11" s="36" t="str">
        <x:v>Finish PublisherRef defaults/non-rewrite</x:v>
      </x:c>
      <x:c r="K11" s="36" t="str">
        <x:v>Other Create types</x:v>
      </x:c>
      <x:c r="L11" s="36" t="str">
        <x:v>Identity/Mobile</x:v>
      </x:c>
      <x:c r="M11" s="36" t="str">
        <x:v>docs/architecture/LAUNCH_STATUS.md</x:v>
      </x:c>
      <x:c r="N11" s="45" t="n">
        <x:v>46250</x:v>
      </x:c>
      <x:c r="O11" s="48" t="n">
        <x:f>IF(B11="","",AVERAGE(IFERROR(VLOOKUP(D11,'Справочники'!$A$5:$B$14,2,FALSE),0),IFERROR(VLOOKUP(E11,'Справочники'!$D$5:$E$12,2,FALSE),0),IFERROR(VLOOKUP(F11,'Справочники'!$G$5:$H$12,2,FALSE),0),IFERROR(VLOOKUP(G11,'Справочники'!$J$5:$K$12,2,FALSE),0)))</x:f>
        <x:v>0.6</x:v>
      </x:c>
      <x:c r="P11" s="36" t="str"/>
    </x:row>
    <x:row r="12" ht="44" customHeight="1">
      <x:c r="A12" s="39" t="str">
        <x:v>IDP-07</x:v>
      </x:c>
      <x:c r="B12" s="36" t="str">
        <x:v>Capability/router guards</x:v>
      </x:c>
      <x:c r="C12" s="36" t="str">
        <x:v>Mobile authority</x:v>
      </x:c>
      <x:c r="D12" s="42" t="str">
        <x:v>План</x:v>
      </x:c>
      <x:c r="E12" s="42" t="str">
        <x:v>Approved</x:v>
      </x:c>
      <x:c r="F12" s="42" t="str">
        <x:v>Local/mock</x:v>
      </x:c>
      <x:c r="G12" s="42" t="str">
        <x:v>Не запускались</x:v>
      </x:c>
      <x:c r="H12" s="42" t="str">
        <x:v>IDP-05A</x:v>
      </x:c>
      <x:c r="I12" s="42" t="str">
        <x:v>P0</x:v>
      </x:c>
      <x:c r="J12" s="36" t="str">
        <x:v>Negative cross-page/deep-link tests</x:v>
      </x:c>
      <x:c r="K12" s="36" t="str">
        <x:v>After IDP-04A</x:v>
      </x:c>
      <x:c r="L12" s="36" t="str">
        <x:v>Identity</x:v>
      </x:c>
      <x:c r="M12" s="36" t="str">
        <x:v>docs/product/IDENTITY_PUBLISHER_SLICE_SPEC.md</x:v>
      </x:c>
      <x:c r="N12" s="45"/>
      <x:c r="O12" s="48" t="n">
        <x:f>IF(B12="","",AVERAGE(IFERROR(VLOOKUP(D12,'Справочники'!$A$5:$B$14,2,FALSE),0),IFERROR(VLOOKUP(E12,'Справочники'!$D$5:$E$12,2,FALSE),0),IFERROR(VLOOKUP(F12,'Справочники'!$G$5:$H$12,2,FALSE),0),IFERROR(VLOOKUP(G12,'Справочники'!$J$5:$K$12,2,FALSE),0)))</x:f>
        <x:v>0.3875</x:v>
      </x:c>
      <x:c r="P12" s="36" t="str"/>
    </x:row>
    <x:row r="13" ht="44" customHeight="1">
      <x:c r="A13" s="39" t="str">
        <x:v>IDP-08</x:v>
      </x:c>
      <x:c r="B13" s="36" t="str">
        <x:v>Viewer Profile</x:v>
      </x:c>
      <x:c r="C13" s="36" t="str">
        <x:v>Functional spec</x:v>
      </x:c>
      <x:c r="D13" s="42" t="str">
        <x:v>Draft</x:v>
      </x:c>
      <x:c r="E13" s="42" t="str">
        <x:v>Draft</x:v>
      </x:c>
      <x:c r="F13" s="42" t="str">
        <x:v>Не требуется</x:v>
      </x:c>
      <x:c r="G13" s="42" t="str">
        <x:v>Частично</x:v>
      </x:c>
      <x:c r="H13" s="42" t="str">
        <x:v>Owner decisions</x:v>
      </x:c>
      <x:c r="I13" s="42" t="str">
        <x:v>P0</x:v>
      </x:c>
      <x:c r="J13" s="36" t="str">
        <x:v>Close VP-D decisions and Approved slices</x:v>
      </x:c>
      <x:c r="K13" s="36" t="str">
        <x:v>Draft v1.17</x:v>
      </x:c>
      <x:c r="L13" s="36" t="str">
        <x:v>Product/Identity</x:v>
      </x:c>
      <x:c r="M13" s="36" t="str">
        <x:v>docs/product/VIEWER_PROFILE_FUNCTIONAL_SPEC.md</x:v>
      </x:c>
      <x:c r="N13" s="45" t="n">
        <x:v>46250</x:v>
      </x:c>
      <x:c r="O13" s="48" t="n">
        <x:f>IF(B13="","",AVERAGE(IFERROR(VLOOKUP(D13,'Справочники'!$A$5:$B$14,2,FALSE),0),IFERROR(VLOOKUP(E13,'Справочники'!$D$5:$E$12,2,FALSE),0),IFERROR(VLOOKUP(F13,'Справочники'!$G$5:$H$12,2,FALSE),0),IFERROR(VLOOKUP(G13,'Справочники'!$J$5:$K$12,2,FALSE),0)))</x:f>
        <x:v>0.48750000000000004</x:v>
      </x:c>
      <x:c r="P13" s="36" t="str"/>
    </x:row>
    <x:row r="14" ht="44" customHeight="1">
      <x:c r="A14" s="39" t="str">
        <x:v>IDP-09</x:v>
      </x:c>
      <x:c r="B14" s="36" t="str">
        <x:v>Creator Profile</x:v>
      </x:c>
      <x:c r="C14" s="36" t="str">
        <x:v>Functional spec</x:v>
      </x:c>
      <x:c r="D14" s="42" t="str">
        <x:v>Draft</x:v>
      </x:c>
      <x:c r="E14" s="42" t="str">
        <x:v>Draft</x:v>
      </x:c>
      <x:c r="F14" s="42" t="str">
        <x:v>Не требуется</x:v>
      </x:c>
      <x:c r="G14" s="42" t="str">
        <x:v>Частично</x:v>
      </x:c>
      <x:c r="H14" s="42" t="str">
        <x:v>Owner decisions</x:v>
      </x:c>
      <x:c r="I14" s="42" t="str">
        <x:v>P1</x:v>
      </x:c>
      <x:c r="J14" s="36" t="str">
        <x:v>Integrate accepted decisions in main spec</x:v>
      </x:c>
      <x:c r="K14" s="36" t="str">
        <x:v>Draft v1.9</x:v>
      </x:c>
      <x:c r="L14" s="36" t="str">
        <x:v>Product/Identity</x:v>
      </x:c>
      <x:c r="M14" s="36" t="str">
        <x:v>docs/product/CREATOR_PROFILE_FUNCTIONAL_SPEC.md</x:v>
      </x:c>
      <x:c r="N14" s="45" t="n">
        <x:v>46250</x:v>
      </x:c>
      <x:c r="O14" s="48" t="n">
        <x:f>IF(B14="","",AVERAGE(IFERROR(VLOOKUP(D14,'Справочники'!$A$5:$B$14,2,FALSE),0),IFERROR(VLOOKUP(E14,'Справочники'!$D$5:$E$12,2,FALSE),0),IFERROR(VLOOKUP(F14,'Справочники'!$G$5:$H$12,2,FALSE),0),IFERROR(VLOOKUP(G14,'Справочники'!$J$5:$K$12,2,FALSE),0)))</x:f>
        <x:v>0.48750000000000004</x:v>
      </x:c>
      <x:c r="P14" s="36" t="str"/>
    </x:row>
    <x:row r="15" ht="44" customHeight="1">
      <x:c r="A15" s="39" t="str">
        <x:v>IDP-10</x:v>
      </x:c>
      <x:c r="B15" s="36" t="str">
        <x:v>Public Viewer Profile</x:v>
      </x:c>
      <x:c r="C15" s="36" t="str">
        <x:v>Functional spec</x:v>
      </x:c>
      <x:c r="D15" s="42" t="str">
        <x:v>Draft</x:v>
      </x:c>
      <x:c r="E15" s="42" t="str">
        <x:v>Draft</x:v>
      </x:c>
      <x:c r="F15" s="42" t="str">
        <x:v>Не требуется</x:v>
      </x:c>
      <x:c r="G15" s="42" t="str">
        <x:v>Частично</x:v>
      </x:c>
      <x:c r="H15" s="42" t="str">
        <x:v>Privacy/moderation</x:v>
      </x:c>
      <x:c r="I15" s="42" t="str">
        <x:v>P1</x:v>
      </x:c>
      <x:c r="J15" s="36" t="str">
        <x:v>Close public projection decisions</x:v>
      </x:c>
      <x:c r="K15" s="36" t="str">
        <x:v>Draft v1.0</x:v>
      </x:c>
      <x:c r="L15" s="36" t="str">
        <x:v>Product/Privacy</x:v>
      </x:c>
      <x:c r="M15" s="36" t="str">
        <x:v>docs/product/PUBLIC_VIEWER_PROFILE_FUNCTIONAL_SPEC.md</x:v>
      </x:c>
      <x:c r="N15" s="45" t="n">
        <x:v>46250</x:v>
      </x:c>
      <x:c r="O15" s="48" t="n">
        <x:f>IF(B15="","",AVERAGE(IFERROR(VLOOKUP(D15,'Справочники'!$A$5:$B$14,2,FALSE),0),IFERROR(VLOOKUP(E15,'Справочники'!$D$5:$E$12,2,FALSE),0),IFERROR(VLOOKUP(F15,'Справочники'!$G$5:$H$12,2,FALSE),0),IFERROR(VLOOKUP(G15,'Справочники'!$J$5:$K$12,2,FALSE),0)))</x:f>
        <x:v>0.48750000000000004</x:v>
      </x:c>
      <x:c r="P15" s="36" t="str"/>
    </x:row>
    <x:row r="16" ht="44" customHeight="1">
      <x:c r="A16" s="39" t="str">
        <x:v>IDP-11</x:v>
      </x:c>
      <x:c r="B16" s="36" t="str">
        <x:v>Public Creator Profile</x:v>
      </x:c>
      <x:c r="C16" s="36" t="str">
        <x:v>Functional spec</x:v>
      </x:c>
      <x:c r="D16" s="42" t="str">
        <x:v>Draft</x:v>
      </x:c>
      <x:c r="E16" s="42" t="str">
        <x:v>Draft</x:v>
      </x:c>
      <x:c r="F16" s="42" t="str">
        <x:v>Не требуется</x:v>
      </x:c>
      <x:c r="G16" s="42" t="str">
        <x:v>Частично</x:v>
      </x:c>
      <x:c r="H16" s="42" t="str">
        <x:v>Privacy/moderation</x:v>
      </x:c>
      <x:c r="I16" s="42" t="str">
        <x:v>P1</x:v>
      </x:c>
      <x:c r="J16" s="36" t="str">
        <x:v>Review Public Creator Profile v1.10</x:v>
      </x:c>
      <x:c r="K16" s="36" t="str">
        <x:v>Draft + privacy/moderation decisions</x:v>
      </x:c>
      <x:c r="L16" s="36" t="str">
        <x:v>Product/Privacy</x:v>
      </x:c>
      <x:c r="M16" s="36" t="str">
        <x:v>docs/product/PUBLIC_CREATOR_PROFILE_FUNCTIONAL_SPEC.md</x:v>
      </x:c>
      <x:c r="N16" s="45" t="n">
        <x:v>46250.5</x:v>
      </x:c>
      <x:c r="O16" s="48" t="n">
        <x:f>IF(B16="","",AVERAGE(IFERROR(VLOOKUP(D16,'Справочники'!$A$5:$B$14,2,FALSE),0),IFERROR(VLOOKUP(E16,'Справочники'!$D$5:$E$12,2,FALSE),0),IFERROR(VLOOKUP(F16,'Справочники'!$G$5:$H$12,2,FALSE),0),IFERROR(VLOOKUP(G16,'Справочники'!$J$5:$K$12,2,FALSE),0)))</x:f>
        <x:v>0.48750000000000004</x:v>
      </x:c>
      <x:c r="P16" s="36" t="str">
        <x:v>Version updated from v1.9 to v1.10 on 2026-08-16</x:v>
      </x:c>
    </x:row>
    <x:row r="17" ht="44" customHeight="1">
      <x:c r="A17" s="39" t="str">
        <x:v>IDP-12</x:v>
      </x:c>
      <x:c r="B17" s="36" t="str">
        <x:v>Professional Page</x:v>
      </x:c>
      <x:c r="C17" s="36" t="str">
        <x:v>Functional spec</x:v>
      </x:c>
      <x:c r="D17" s="42" t="str">
        <x:v>Draft</x:v>
      </x:c>
      <x:c r="E17" s="42" t="str">
        <x:v>Draft</x:v>
      </x:c>
      <x:c r="F17" s="42" t="str">
        <x:v>Не требуется</x:v>
      </x:c>
      <x:c r="G17" s="42" t="str">
        <x:v>Частично</x:v>
      </x:c>
      <x:c r="H17" s="42" t="str">
        <x:v>PP decisions</x:v>
      </x:c>
      <x:c r="I17" s="42" t="str">
        <x:v>P0</x:v>
      </x:c>
      <x:c r="J17" s="36" t="str">
        <x:v>Integrate accepted owner decisions in Professional Page v2.32</x:v>
      </x:c>
      <x:c r="K17" s="36" t="str">
        <x:v>Legal/business/architecture owner decisions</x:v>
      </x:c>
      <x:c r="L17" s="36" t="str">
        <x:v>Product/Identity</x:v>
      </x:c>
      <x:c r="M17" s="36" t="str">
        <x:v>docs/product/PROFESSIONAL_PAGE_FUNCTIONAL_SPEC.md</x:v>
      </x:c>
      <x:c r="N17" s="45" t="n">
        <x:v>46250.5</x:v>
      </x:c>
      <x:c r="O17" s="48" t="n">
        <x:f>IF(B17="","",AVERAGE(IFERROR(VLOOKUP(D17,'Справочники'!$A$5:$B$14,2,FALSE),0),IFERROR(VLOOKUP(E17,'Справочники'!$D$5:$E$12,2,FALSE),0),IFERROR(VLOOKUP(F17,'Справочники'!$G$5:$H$12,2,FALSE),0),IFERROR(VLOOKUP(G17,'Справочники'!$J$5:$K$12,2,FALSE),0)))</x:f>
        <x:v>0.48750000000000004</x:v>
      </x:c>
      <x:c r="P17" s="36" t="str"/>
    </x:row>
    <x:row r="18" ht="44" customHeight="1">
      <x:c r="A18" s="39" t="str">
        <x:v>IDP-13</x:v>
      </x:c>
      <x:c r="B18" s="36" t="str">
        <x:v>Public Professional Page</x:v>
      </x:c>
      <x:c r="C18" s="36" t="str">
        <x:v>Functional spec</x:v>
      </x:c>
      <x:c r="D18" s="42" t="str">
        <x:v>Draft</x:v>
      </x:c>
      <x:c r="E18" s="42" t="str">
        <x:v>Draft</x:v>
      </x:c>
      <x:c r="F18" s="42" t="str">
        <x:v>Не требуется</x:v>
      </x:c>
      <x:c r="G18" s="42" t="str">
        <x:v>Частично</x:v>
      </x:c>
      <x:c r="H18" s="42" t="str">
        <x:v>Privacy/moderation</x:v>
      </x:c>
      <x:c r="I18" s="42" t="str">
        <x:v>P1</x:v>
      </x:c>
      <x:c r="J18" s="36" t="str">
        <x:v>Align public projection with main Page spec</x:v>
      </x:c>
      <x:c r="K18" s="36" t="str">
        <x:v>Draft v1.1</x:v>
      </x:c>
      <x:c r="L18" s="36" t="str">
        <x:v>Product/Privacy</x:v>
      </x:c>
      <x:c r="M18" s="36" t="str">
        <x:v>docs/product/PUBLIC_PROFESSIONAL_PAGE_FUNCTIONAL_SPEC.md</x:v>
      </x:c>
      <x:c r="N18" s="45" t="n">
        <x:v>46250</x:v>
      </x:c>
      <x:c r="O18" s="48" t="n">
        <x:f>IF(B18="","",AVERAGE(IFERROR(VLOOKUP(D18,'Справочники'!$A$5:$B$14,2,FALSE),0),IFERROR(VLOOKUP(E18,'Справочники'!$D$5:$E$12,2,FALSE),0),IFERROR(VLOOKUP(F18,'Справочники'!$G$5:$H$12,2,FALSE),0),IFERROR(VLOOKUP(G18,'Справочники'!$J$5:$K$12,2,FALSE),0)))</x:f>
        <x:v>0.48750000000000004</x:v>
      </x:c>
      <x:c r="P18" s="36" t="str"/>
    </x:row>
    <x:row r="19" ht="44" customHeight="1">
      <x:c r="A19" s="39" t="str">
        <x:v>IDP-14</x:v>
      </x:c>
      <x:c r="B19" s="36" t="str">
        <x:v>Session step-up / account states</x:v>
      </x:c>
      <x:c r="C19" s="36" t="str">
        <x:v>Security contract</x:v>
      </x:c>
      <x:c r="D19" s="42" t="str">
        <x:v>Draft</x:v>
      </x:c>
      <x:c r="E19" s="42" t="str">
        <x:v>Draft</x:v>
      </x:c>
      <x:c r="F19" s="42" t="str">
        <x:v>Отсутствует</x:v>
      </x:c>
      <x:c r="G19" s="42" t="str">
        <x:v>Не запускались</x:v>
      </x:c>
      <x:c r="H19" s="42" t="str">
        <x:v>Security review</x:v>
      </x:c>
      <x:c r="I19" s="42" t="str">
        <x:v>P0</x:v>
      </x:c>
      <x:c r="J19" s="36" t="str">
        <x:v>Session+purpose scoped StepUpGrant</x:v>
      </x:c>
      <x:c r="K19" s="36" t="str">
        <x:v>VP decisions</x:v>
      </x:c>
      <x:c r="L19" s="36" t="str">
        <x:v>Identity/Security</x:v>
      </x:c>
      <x:c r="M19" s="36" t="str">
        <x:v>docs/product/VIEWER_PROFILE_FUNCTIONAL_SPEC.md</x:v>
      </x:c>
      <x:c r="N19" s="45" t="n">
        <x:v>46250</x:v>
      </x:c>
      <x:c r="O19" s="48" t="n">
        <x:f>IF(B19="","",AVERAGE(IFERROR(VLOOKUP(D19,'Справочники'!$A$5:$B$14,2,FALSE),0),IFERROR(VLOOKUP(E19,'Справочники'!$D$5:$E$12,2,FALSE),0),IFERROR(VLOOKUP(F19,'Справочники'!$G$5:$H$12,2,FALSE),0),IFERROR(VLOOKUP(G19,'Справочники'!$J$5:$K$12,2,FALSE),0)))</x:f>
        <x:v>0.1375</x:v>
      </x:c>
      <x:c r="P19" s="36" t="str"/>
    </x:row>
    <x:row r="20" ht="44" customHeight="1">
      <x:c r="A20" s="39" t="str">
        <x:v>IDP-15</x:v>
      </x:c>
      <x:c r="B20" s="36" t="str">
        <x:v>Identity backend authority</x:v>
      </x:c>
      <x:c r="C20" s="36" t="str">
        <x:v>Backend runtime</x:v>
      </x:c>
      <x:c r="D20" s="42" t="str">
        <x:v>План</x:v>
      </x:c>
      <x:c r="E20" s="42" t="str">
        <x:v>Отсутствует</x:v>
      </x:c>
      <x:c r="F20" s="42" t="str">
        <x:v>Отсутствует</x:v>
      </x:c>
      <x:c r="G20" s="42" t="str">
        <x:v>Не запускались</x:v>
      </x:c>
      <x:c r="H20" s="42" t="str">
        <x:v>BCK-06 / R2</x:v>
      </x:c>
      <x:c r="I20" s="42" t="str">
        <x:v>P0</x:v>
      </x:c>
      <x:c r="J20" s="36" t="str">
        <x:v>Membership/capability/revocation backend</x:v>
      </x:c>
      <x:c r="K20" s="36" t="str">
        <x:v>BCK-06 missing</x:v>
      </x:c>
      <x:c r="L20" s="36" t="str">
        <x:v>Identity Backend</x:v>
      </x:c>
      <x:c r="M20" s="36" t="str">
        <x:v>docs/product/RECHARGE_BACKEND_DELIVERY_MAP.md</x:v>
      </x:c>
      <x:c r="N20" s="45"/>
      <x:c r="O20" s="48" t="n">
        <x:f>IF(B20="","",AVERAGE(IFERROR(VLOOKUP(D20,'Справочники'!$A$5:$B$14,2,FALSE),0),IFERROR(VLOOKUP(E20,'Справочники'!$D$5:$E$12,2,FALSE),0),IFERROR(VLOOKUP(F20,'Справочники'!$G$5:$H$12,2,FALSE),0),IFERROR(VLOOKUP(G20,'Справочники'!$J$5:$K$12,2,FALSE),0)))</x:f>
        <x:v>0.025</x:v>
      </x:c>
      <x:c r="P20" s="36" t="str"/>
    </x:row>
    <x:row r="21" ht="44" customHeight="1">
      <x:c r="A21" s="39" t="str">
        <x:v>IDP-EXC-00</x:v>
      </x:c>
      <x:c r="B21" s="36" t="str">
        <x:v>Stabilization exception</x:v>
      </x:c>
      <x:c r="C21" s="36" t="str">
        <x:v>ADR/docs gate</x:v>
      </x:c>
      <x:c r="D21" s="42" t="str">
        <x:v>Готово</x:v>
      </x:c>
      <x:c r="E21" s="42" t="str">
        <x:v>Accepted</x:v>
      </x:c>
      <x:c r="F21" s="42" t="str">
        <x:v>Не требуется</x:v>
      </x:c>
      <x:c r="G21" s="42" t="str">
        <x:v>Исторические зелёные</x:v>
      </x:c>
      <x:c r="H21" s="42" t="str">
        <x:v>Done</x:v>
      </x:c>
      <x:c r="I21" s="42" t="str">
        <x:v>P0</x:v>
      </x:c>
      <x:c r="J21" s="36" t="str">
        <x:v>Не расширять без нового Accepted ADR</x:v>
      </x:c>
      <x:c r="K21" s="36" t="str">
        <x:v>Production authority excluded</x:v>
      </x:c>
      <x:c r="L21" s="36" t="str">
        <x:v>Architecture / Identity</x:v>
      </x:c>
      <x:c r="M21" s="36" t="str">
        <x:v>docs/adr/0016-bounded-identity-workspace-during-stabilization.md</x:v>
      </x:c>
      <x:c r="N21" s="45" t="n">
        <x:v>46250.5</x:v>
      </x:c>
      <x:c r="O21" s="48" t="n">
        <x:f>IF(B21="","",AVERAGE(IFERROR(VLOOKUP(D21,'Справочники'!$A$5:$B$14,2,FALSE),0),IFERROR(VLOOKUP(E21,'Справочники'!$D$5:$E$12,2,FALSE),0),IFERROR(VLOOKUP(F21,'Справочники'!$G$5:$H$12,2,FALSE),0),IFERROR(VLOOKUP(G21,'Справочники'!$J$5:$K$12,2,FALSE),0)))</x:f>
        <x:v>0.925</x:v>
      </x:c>
      <x:c r="P21" s="36" t="str"/>
    </x:row>
    <x:row r="22" ht="44" customHeight="1">
      <x:c r="A22" s="39" t="str">
        <x:v>IDP-00</x:v>
      </x:c>
      <x:c r="B22" s="36" t="str">
        <x:v>Identity / Publisher decision</x:v>
      </x:c>
      <x:c r="C22" s="36" t="str">
        <x:v>Architecture decision</x:v>
      </x:c>
      <x:c r="D22" s="42" t="str">
        <x:v>Готово</x:v>
      </x:c>
      <x:c r="E22" s="42" t="str">
        <x:v>Accepted</x:v>
      </x:c>
      <x:c r="F22" s="42" t="str">
        <x:v>Не требуется</x:v>
      </x:c>
      <x:c r="G22" s="42" t="str">
        <x:v>Исторические зелёные</x:v>
      </x:c>
      <x:c r="H22" s="42" t="str">
        <x:v>Done</x:v>
      </x:c>
      <x:c r="I22" s="42" t="str">
        <x:v>P0</x:v>
      </x:c>
      <x:c r="J22" s="36" t="str">
        <x:v>Preserve User/Creator/Admin + ManagedPage model</x:v>
      </x:c>
      <x:c r="K22" s="36" t="str"/>
      <x:c r="L22" s="36" t="str">
        <x:v>Identity</x:v>
      </x:c>
      <x:c r="M22" s="36" t="str">
        <x:v>docs/adr/0015-authenticated-viewer-verified-creator-professional-page.md</x:v>
      </x:c>
      <x:c r="N22" s="45" t="n">
        <x:v>46250.5</x:v>
      </x:c>
      <x:c r="O22" s="48" t="n">
        <x:f>IF(B22="","",AVERAGE(IFERROR(VLOOKUP(D22,'Справочники'!$A$5:$B$14,2,FALSE),0),IFERROR(VLOOKUP(E22,'Справочники'!$D$5:$E$12,2,FALSE),0),IFERROR(VLOOKUP(F22,'Справочники'!$G$5:$H$12,2,FALSE),0),IFERROR(VLOOKUP(G22,'Справочники'!$J$5:$K$12,2,FALSE),0)))</x:f>
        <x:v>0.925</x:v>
      </x:c>
      <x:c r="P22" s="36" t="str"/>
    </x:row>
    <x:row r="23" ht="44" customHeight="1">
      <x:c r="A23" s="39" t="str">
        <x:v>IDP-03A</x:v>
      </x:c>
      <x:c r="B23" s="36" t="str">
        <x:v>Local identity/workspace foundation</x:v>
      </x:c>
      <x:c r="C23" s="36" t="str">
        <x:v>Local/mock slice</x:v>
      </x:c>
      <x:c r="D23" s="42" t="str">
        <x:v>Review</x:v>
      </x:c>
      <x:c r="E23" s="42" t="str">
        <x:v>Approved</x:v>
      </x:c>
      <x:c r="F23" s="42" t="str">
        <x:v>Local/mock</x:v>
      </x:c>
      <x:c r="G23" s="42" t="str">
        <x:v>Частично</x:v>
      </x:c>
      <x:c r="H23" s="42" t="str">
        <x:v>Review</x:v>
      </x:c>
      <x:c r="I23" s="42" t="str">
        <x:v>P0</x:v>
      </x:c>
      <x:c r="J23" s="36" t="str">
        <x:v>Run current full gate after shared-tree stabilization</x:v>
      </x:c>
      <x:c r="K23" s="36" t="str">
        <x:v>Prior full rerun incomplete</x:v>
      </x:c>
      <x:c r="L23" s="36" t="str">
        <x:v>Identity</x:v>
      </x:c>
      <x:c r="M23" s="36" t="str">
        <x:v>docs/architecture/LAUNCH_STATUS.md</x:v>
      </x:c>
      <x:c r="N23" s="45" t="n">
        <x:v>46250.5</x:v>
      </x:c>
      <x:c r="O23" s="48" t="n">
        <x:f>IF(B23="","",AVERAGE(IFERROR(VLOOKUP(D23,'Справочники'!$A$5:$B$14,2,FALSE),0),IFERROR(VLOOKUP(E23,'Справочники'!$D$5:$E$12,2,FALSE),0),IFERROR(VLOOKUP(F23,'Справочники'!$G$5:$H$12,2,FALSE),0),IFERROR(VLOOKUP(G23,'Справочники'!$J$5:$K$12,2,FALSE),0)))</x:f>
        <x:v>0.6375000000000001</x:v>
      </x:c>
      <x:c r="P23" s="36" t="str"/>
    </x:row>
    <x:row r="24" ht="44" customHeight="1">
      <x:c r="A24" s="39" t="str">
        <x:v>IDP-04A</x:v>
      </x:c>
      <x:c r="B24" s="36" t="str">
        <x:v>Workspace shell / publisher defaults</x:v>
      </x:c>
      <x:c r="C24" s="36" t="str">
        <x:v>Local/mock slice</x:v>
      </x:c>
      <x:c r="D24" s="42" t="str">
        <x:v>В работе</x:v>
      </x:c>
      <x:c r="E24" s="42" t="str">
        <x:v>Approved</x:v>
      </x:c>
      <x:c r="F24" s="42" t="str">
        <x:v>Local/mock</x:v>
      </x:c>
      <x:c r="G24" s="42" t="str">
        <x:v>Частично</x:v>
      </x:c>
      <x:c r="H24" s="42" t="str">
        <x:v>Doing</x:v>
      </x:c>
      <x:c r="I24" s="42" t="str">
        <x:v>P0</x:v>
      </x:c>
      <x:c r="J24" s="36" t="str">
        <x:v>Cover remaining nine Create types</x:v>
      </x:c>
      <x:c r="K24" s="36" t="str">
        <x:v>PublisherRef incomplete</x:v>
      </x:c>
      <x:c r="L24" s="36" t="str">
        <x:v>Identity / Create</x:v>
      </x:c>
      <x:c r="M24" s="36" t="str">
        <x:v>docs/architecture/LAUNCH_STATUS.md</x:v>
      </x:c>
      <x:c r="N24" s="45" t="n">
        <x:v>46250.5</x:v>
      </x:c>
      <x:c r="O24" s="48" t="n">
        <x:f>IF(B24="","",AVERAGE(IFERROR(VLOOKUP(D24,'Справочники'!$A$5:$B$14,2,FALSE),0),IFERROR(VLOOKUP(E24,'Справочники'!$D$5:$E$12,2,FALSE),0),IFERROR(VLOOKUP(F24,'Справочники'!$G$5:$H$12,2,FALSE),0),IFERROR(VLOOKUP(G24,'Справочники'!$J$5:$K$12,2,FALSE),0)))</x:f>
        <x:v>0.6</x:v>
      </x:c>
      <x:c r="P24" s="36" t="str"/>
    </x:row>
    <x:row r="25" ht="44" customHeight="1">
      <x:c r="A25" s="39" t="str">
        <x:v>IDP-05A</x:v>
      </x:c>
      <x:c r="B25" s="36" t="str">
        <x:v>Capability/router guards + Admin entry</x:v>
      </x:c>
      <x:c r="C25" s="36" t="str">
        <x:v>Local/mock slice</x:v>
      </x:c>
      <x:c r="D25" s="42" t="str">
        <x:v>План</x:v>
      </x:c>
      <x:c r="E25" s="42" t="str">
        <x:v>Approved</x:v>
      </x:c>
      <x:c r="F25" s="42" t="str">
        <x:v>Local/mock</x:v>
      </x:c>
      <x:c r="G25" s="42" t="str">
        <x:v>Не запускались</x:v>
      </x:c>
      <x:c r="H25" s="42" t="str">
        <x:v>Planned</x:v>
      </x:c>
      <x:c r="I25" s="42" t="str">
        <x:v>P0</x:v>
      </x:c>
      <x:c r="J25" s="36" t="str">
        <x:v>Negative cross-page/deep-link/revocation tests</x:v>
      </x:c>
      <x:c r="K25" s="36" t="str">
        <x:v>Depends on IDP-04A</x:v>
      </x:c>
      <x:c r="L25" s="36" t="str">
        <x:v>Identity</x:v>
      </x:c>
      <x:c r="M25" s="36" t="str">
        <x:v>docs/architecture/LAUNCH_STATUS.md</x:v>
      </x:c>
      <x:c r="N25" s="45" t="n">
        <x:v>46250.5</x:v>
      </x:c>
      <x:c r="O25" s="48" t="n">
        <x:f>IF(B25="","",AVERAGE(IFERROR(VLOOKUP(D25,'Справочники'!$A$5:$B$14,2,FALSE),0),IFERROR(VLOOKUP(E25,'Справочники'!$D$5:$E$12,2,FALSE),0),IFERROR(VLOOKUP(F25,'Справочники'!$G$5:$H$12,2,FALSE),0),IFERROR(VLOOKUP(G25,'Справочники'!$J$5:$K$12,2,FALSE),0)))</x:f>
        <x:v>0.3875</x:v>
      </x:c>
      <x:c r="P25" s="36" t="str"/>
    </x:row>
    <x:row r="26" ht="44" customHeight="1">
      <x:c r="A26" s="39" t="str">
        <x:v>IDP-PROD-01/06</x:v>
      </x:c>
      <x:c r="B26" s="36" t="str">
        <x:v>Production Identity implementation</x:v>
      </x:c>
      <x:c r="C26" s="36" t="str">
        <x:v>Production program</x:v>
      </x:c>
      <x:c r="D26" s="42" t="str">
        <x:v>План</x:v>
      </x:c>
      <x:c r="E26" s="42" t="str">
        <x:v>Approved</x:v>
      </x:c>
      <x:c r="F26" s="42" t="str">
        <x:v>Отсутствует</x:v>
      </x:c>
      <x:c r="G26" s="42" t="str">
        <x:v>Не запускались</x:v>
      </x:c>
      <x:c r="H26" s="42" t="str">
        <x:v>R2/G2</x:v>
      </x:c>
      <x:c r="I26" s="42" t="str">
        <x:v>P0</x:v>
      </x:c>
      <x:c r="J26" s="36" t="str">
        <x:v>Firebase Auth, linking, recovery, verification, grants, migration</x:v>
      </x:c>
      <x:c r="K26" s="36" t="str">
        <x:v>BCK-06 + OD-08/11</x:v>
      </x:c>
      <x:c r="L26" s="36" t="str">
        <x:v>Identity Backend</x:v>
      </x:c>
      <x:c r="M26" s="36" t="str">
        <x:v>docs/architecture/LAUNCH_STATUS.md</x:v>
      </x:c>
      <x:c r="N26" s="45" t="n">
        <x:v>46250.5</x:v>
      </x:c>
      <x:c r="O26" s="48" t="n">
        <x:f>IF(B26="","",AVERAGE(IFERROR(VLOOKUP(D26,'Справочники'!$A$5:$B$14,2,FALSE),0),IFERROR(VLOOKUP(E26,'Справочники'!$D$5:$E$12,2,FALSE),0),IFERROR(VLOOKUP(F26,'Справочники'!$G$5:$H$12,2,FALSE),0),IFERROR(VLOOKUP(G26,'Справочники'!$J$5:$K$12,2,FALSE),0)))</x:f>
        <x:v>0.25</x:v>
      </x:c>
      <x:c r="P26" s="36" t="str"/>
    </x:row>
    <x:row r="27" ht="44" customHeight="1">
      <x:c r="A27" s="39" t="str">
        <x:v>STAB-AUTH-MOCK-RECOVERY-01</x:v>
      </x:c>
      <x:c r="B27" s="36" t="str">
        <x:v>Protected Profile mock-auth recovery</x:v>
      </x:c>
      <x:c r="C27" s="36" t="str">
        <x:v>Stabilization gap</x:v>
      </x:c>
      <x:c r="D27" s="42" t="str">
        <x:v>План</x:v>
      </x:c>
      <x:c r="E27" s="42" t="str">
        <x:v>Отсутствует</x:v>
      </x:c>
      <x:c r="F27" s="42" t="str">
        <x:v>Отсутствует</x:v>
      </x:c>
      <x:c r="G27" s="42" t="str">
        <x:v>Заблокированы</x:v>
      </x:c>
      <x:c r="H27" s="42" t="str">
        <x:v>Separate Approved slice needed</x:v>
      </x:c>
      <x:c r="I27" s="42" t="str">
        <x:v>P0</x:v>
      </x:c>
      <x:c r="J27" s="36" t="str">
        <x:v>Config-gated demo access + safe return + recovery tests</x:v>
      </x:c>
      <x:c r="K27" s="36" t="str">
        <x:v>Spec/runtime not implemented</x:v>
      </x:c>
      <x:c r="L27" s="36" t="str">
        <x:v>Identity / Mobile</x:v>
      </x:c>
      <x:c r="M27" s="36" t="str">
        <x:v>apps/mobile/lib/features/auth</x:v>
      </x:c>
      <x:c r="N27" s="45" t="n">
        <x:v>46250.5</x:v>
      </x:c>
      <x:c r="O27" s="48" t="n">
        <x:f>IF(B27="","",AVERAGE(IFERROR(VLOOKUP(D27,'Справочники'!$A$5:$B$14,2,FALSE),0),IFERROR(VLOOKUP(E27,'Справочники'!$D$5:$E$12,2,FALSE),0),IFERROR(VLOOKUP(F27,'Справочники'!$G$5:$H$12,2,FALSE),0),IFERROR(VLOOKUP(G27,'Справочники'!$J$5:$K$12,2,FALSE),0)))</x:f>
        <x:v>0.0625</x:v>
      </x:c>
      <x:c r="P27" s="36" t="str"/>
    </x:row>
    <x:row r="28" ht="44" customHeight="1">
      <x:c r="A28" s="39" t="str">
        <x:v>IDP-DOC-01</x:v>
      </x:c>
      <x:c r="B28" s="36" t="str">
        <x:v>Profile document family</x:v>
      </x:c>
      <x:c r="C28" s="36" t="str">
        <x:v>Documentation family</x:v>
      </x:c>
      <x:c r="D28" s="42" t="str">
        <x:v>Draft</x:v>
      </x:c>
      <x:c r="E28" s="42" t="str">
        <x:v>Draft</x:v>
      </x:c>
      <x:c r="F28" s="42" t="str">
        <x:v>Не требуется</x:v>
      </x:c>
      <x:c r="G28" s="42" t="str">
        <x:v>Частично</x:v>
      </x:c>
      <x:c r="H28" s="42" t="str">
        <x:v>Owner decisions</x:v>
      </x:c>
      <x:c r="I28" s="42" t="str">
        <x:v>P0</x:v>
      </x:c>
      <x:c r="J28" s="36" t="str">
        <x:v>Review v1.17/v1.9/v1.10/v2.32 and public siblings together</x:v>
      </x:c>
      <x:c r="K28" s="36" t="str">
        <x:v>Multiple open decisions</x:v>
      </x:c>
      <x:c r="L28" s="36" t="str">
        <x:v>Product / Identity</x:v>
      </x:c>
      <x:c r="M28" s="36" t="str">
        <x:v>docs/product/PROFILE_DOCUMENTS_INDEX.md</x:v>
      </x:c>
      <x:c r="N28" s="45" t="n">
        <x:v>46250.5</x:v>
      </x:c>
      <x:c r="O28" s="48" t="n">
        <x:f>IF(B28="","",AVERAGE(IFERROR(VLOOKUP(D28,'Справочники'!$A$5:$B$14,2,FALSE),0),IFERROR(VLOOKUP(E28,'Справочники'!$D$5:$E$12,2,FALSE),0),IFERROR(VLOOKUP(F28,'Справочники'!$G$5:$H$12,2,FALSE),0),IFERROR(VLOOKUP(G28,'Справочники'!$J$5:$K$12,2,FALSE),0)))</x:f>
        <x:v>0.48750000000000004</x:v>
      </x:c>
      <x:c r="P28" s="36" t="str">
        <x:v>Index v1.5; Public Creator v1.10; Professional Page v2.32</x:v>
      </x:c>
    </x:row>
    <x:row r="29" ht="44" customHeight="1">
      <x:c r="A29" s="39"/>
      <x:c r="B29" s="36"/>
      <x:c r="C29" s="36"/>
      <x:c r="D29" s="42"/>
      <x:c r="E29" s="42"/>
      <x:c r="F29" s="42"/>
      <x:c r="G29" s="42"/>
      <x:c r="H29" s="42"/>
      <x:c r="I29" s="42"/>
      <x:c r="J29" s="36"/>
      <x:c r="K29" s="36"/>
      <x:c r="L29" s="36"/>
      <x:c r="M29" s="36"/>
      <x:c r="N29" s="45"/>
      <x:c r="O29" s="48" t="str">
        <x:f>IF(B29="","",AVERAGE(IFERROR(VLOOKUP(D29,'Справочники'!$A$5:$B$14,2,FALSE),0),IFERROR(VLOOKUP(E29,'Справочники'!$D$5:$E$12,2,FALSE),0),IFERROR(VLOOKUP(F29,'Справочники'!$G$5:$H$12,2,FALSE),0),IFERROR(VLOOKUP(G29,'Справочники'!$J$5:$K$12,2,FALSE),0)))</x:f>
      </x:c>
      <x:c r="P29" s="36"/>
    </x:row>
    <x:row r="30" ht="44" customHeight="1">
      <x:c r="A30" s="39"/>
      <x:c r="B30" s="36"/>
      <x:c r="C30" s="36"/>
      <x:c r="D30" s="42"/>
      <x:c r="E30" s="42"/>
      <x:c r="F30" s="42"/>
      <x:c r="G30" s="42"/>
      <x:c r="H30" s="42"/>
      <x:c r="I30" s="42"/>
      <x:c r="J30" s="36"/>
      <x:c r="K30" s="36"/>
      <x:c r="L30" s="36"/>
      <x:c r="M30" s="36"/>
      <x:c r="N30" s="45"/>
      <x:c r="O30" s="48" t="str">
        <x:f>IF(B30="","",AVERAGE(IFERROR(VLOOKUP(D30,'Справочники'!$A$5:$B$14,2,FALSE),0),IFERROR(VLOOKUP(E30,'Справочники'!$D$5:$E$12,2,FALSE),0),IFERROR(VLOOKUP(F30,'Справочники'!$G$5:$H$12,2,FALSE),0),IFERROR(VLOOKUP(G30,'Справочники'!$J$5:$K$12,2,FALSE),0)))</x:f>
      </x:c>
      <x:c r="P30" s="36"/>
    </x:row>
    <x:row r="31" ht="44" customHeight="1">
      <x:c r="A31" s="39"/>
      <x:c r="B31" s="36"/>
      <x:c r="C31" s="36"/>
      <x:c r="D31" s="42"/>
      <x:c r="E31" s="42"/>
      <x:c r="F31" s="42"/>
      <x:c r="G31" s="42"/>
      <x:c r="H31" s="42"/>
      <x:c r="I31" s="42"/>
      <x:c r="J31" s="36"/>
      <x:c r="K31" s="36"/>
      <x:c r="L31" s="36"/>
      <x:c r="M31" s="36"/>
      <x:c r="N31" s="45"/>
      <x:c r="O31" s="48" t="str">
        <x:f>IF(B31="","",AVERAGE(IFERROR(VLOOKUP(D31,'Справочники'!$A$5:$B$14,2,FALSE),0),IFERROR(VLOOKUP(E31,'Справочники'!$D$5:$E$12,2,FALSE),0),IFERROR(VLOOKUP(F31,'Справочники'!$G$5:$H$12,2,FALSE),0),IFERROR(VLOOKUP(G31,'Справочники'!$J$5:$K$12,2,FALSE),0)))</x:f>
      </x:c>
      <x:c r="P31" s="36"/>
    </x:row>
    <x:row r="32" ht="44" customHeight="1">
      <x:c r="A32" s="39"/>
      <x:c r="B32" s="36"/>
      <x:c r="C32" s="36"/>
      <x:c r="D32" s="42"/>
      <x:c r="E32" s="42"/>
      <x:c r="F32" s="42"/>
      <x:c r="G32" s="42"/>
      <x:c r="H32" s="42"/>
      <x:c r="I32" s="42"/>
      <x:c r="J32" s="36"/>
      <x:c r="K32" s="36"/>
      <x:c r="L32" s="36"/>
      <x:c r="M32" s="36"/>
      <x:c r="N32" s="45"/>
      <x:c r="O32" s="48" t="str">
        <x:f>IF(B32="","",AVERAGE(IFERROR(VLOOKUP(D32,'Справочники'!$A$5:$B$14,2,FALSE),0),IFERROR(VLOOKUP(E32,'Справочники'!$D$5:$E$12,2,FALSE),0),IFERROR(VLOOKUP(F32,'Справочники'!$G$5:$H$12,2,FALSE),0),IFERROR(VLOOKUP(G32,'Справочники'!$J$5:$K$12,2,FALSE),0)))</x:f>
      </x:c>
      <x:c r="P32" s="36"/>
    </x:row>
    <x:row r="33" ht="44" customHeight="1">
      <x:c r="A33" s="39"/>
      <x:c r="B33" s="36"/>
      <x:c r="C33" s="36"/>
      <x:c r="D33" s="42"/>
      <x:c r="E33" s="42"/>
      <x:c r="F33" s="42"/>
      <x:c r="G33" s="42"/>
      <x:c r="H33" s="42"/>
      <x:c r="I33" s="42"/>
      <x:c r="J33" s="36"/>
      <x:c r="K33" s="36"/>
      <x:c r="L33" s="36"/>
      <x:c r="M33" s="36"/>
      <x:c r="N33" s="45"/>
      <x:c r="O33" s="48" t="str">
        <x:f>IF(B33="","",AVERAGE(IFERROR(VLOOKUP(D33,'Справочники'!$A$5:$B$14,2,FALSE),0),IFERROR(VLOOKUP(E33,'Справочники'!$D$5:$E$12,2,FALSE),0),IFERROR(VLOOKUP(F33,'Справочники'!$G$5:$H$12,2,FALSE),0),IFERROR(VLOOKUP(G33,'Справочники'!$J$5:$K$12,2,FALSE),0)))</x:f>
      </x:c>
      <x:c r="P33" s="36"/>
    </x:row>
    <x:row r="34" ht="44" customHeight="1">
      <x:c r="A34" s="39"/>
      <x:c r="B34" s="36"/>
      <x:c r="C34" s="36"/>
      <x:c r="D34" s="42"/>
      <x:c r="E34" s="42"/>
      <x:c r="F34" s="42"/>
      <x:c r="G34" s="42"/>
      <x:c r="H34" s="42"/>
      <x:c r="I34" s="42"/>
      <x:c r="J34" s="36"/>
      <x:c r="K34" s="36"/>
      <x:c r="L34" s="36"/>
      <x:c r="M34" s="36"/>
      <x:c r="N34" s="45"/>
      <x:c r="O34" s="48" t="str">
        <x:f>IF(B34="","",AVERAGE(IFERROR(VLOOKUP(D34,'Справочники'!$A$5:$B$14,2,FALSE),0),IFERROR(VLOOKUP(E34,'Справочники'!$D$5:$E$12,2,FALSE),0),IFERROR(VLOOKUP(F34,'Справочники'!$G$5:$H$12,2,FALSE),0),IFERROR(VLOOKUP(G34,'Справочники'!$J$5:$K$12,2,FALSE),0)))</x:f>
      </x:c>
      <x:c r="P34" s="36"/>
    </x:row>
    <x:row r="35" ht="44" customHeight="1">
      <x:c r="A35" s="39"/>
      <x:c r="B35" s="36"/>
      <x:c r="C35" s="36"/>
      <x:c r="D35" s="42"/>
      <x:c r="E35" s="42"/>
      <x:c r="F35" s="42"/>
      <x:c r="G35" s="42"/>
      <x:c r="H35" s="42"/>
      <x:c r="I35" s="42"/>
      <x:c r="J35" s="36"/>
      <x:c r="K35" s="36"/>
      <x:c r="L35" s="36"/>
      <x:c r="M35" s="36"/>
      <x:c r="N35" s="45"/>
      <x:c r="O35" s="48" t="str">
        <x:f>IF(B35="","",AVERAGE(IFERROR(VLOOKUP(D35,'Справочники'!$A$5:$B$14,2,FALSE),0),IFERROR(VLOOKUP(E35,'Справочники'!$D$5:$E$12,2,FALSE),0),IFERROR(VLOOKUP(F35,'Справочники'!$G$5:$H$12,2,FALSE),0),IFERROR(VLOOKUP(G35,'Справочники'!$J$5:$K$12,2,FALSE),0)))</x:f>
      </x:c>
      <x:c r="P35" s="36"/>
    </x:row>
    <x:row r="36" ht="44" customHeight="1">
      <x:c r="A36" s="39"/>
      <x:c r="B36" s="36"/>
      <x:c r="C36" s="36"/>
      <x:c r="D36" s="42"/>
      <x:c r="E36" s="42"/>
      <x:c r="F36" s="42"/>
      <x:c r="G36" s="42"/>
      <x:c r="H36" s="42"/>
      <x:c r="I36" s="42"/>
      <x:c r="J36" s="36"/>
      <x:c r="K36" s="36"/>
      <x:c r="L36" s="36"/>
      <x:c r="M36" s="36"/>
      <x:c r="N36" s="45"/>
      <x:c r="O36" s="48" t="str">
        <x:f>IF(B36="","",AVERAGE(IFERROR(VLOOKUP(D36,'Справочники'!$A$5:$B$14,2,FALSE),0),IFERROR(VLOOKUP(E36,'Справочники'!$D$5:$E$12,2,FALSE),0),IFERROR(VLOOKUP(F36,'Справочники'!$G$5:$H$12,2,FALSE),0),IFERROR(VLOOKUP(G36,'Справочники'!$J$5:$K$12,2,FALSE),0)))</x:f>
      </x:c>
      <x:c r="P36" s="36"/>
    </x:row>
    <x:row r="37" ht="44" customHeight="1">
      <x:c r="A37" s="39"/>
      <x:c r="B37" s="36"/>
      <x:c r="C37" s="36"/>
      <x:c r="D37" s="42"/>
      <x:c r="E37" s="42"/>
      <x:c r="F37" s="42"/>
      <x:c r="G37" s="42"/>
      <x:c r="H37" s="42"/>
      <x:c r="I37" s="42"/>
      <x:c r="J37" s="36"/>
      <x:c r="K37" s="36"/>
      <x:c r="L37" s="36"/>
      <x:c r="M37" s="36"/>
      <x:c r="N37" s="45"/>
      <x:c r="O37" s="48" t="str">
        <x:f>IF(B37="","",AVERAGE(IFERROR(VLOOKUP(D37,'Справочники'!$A$5:$B$14,2,FALSE),0),IFERROR(VLOOKUP(E37,'Справочники'!$D$5:$E$12,2,FALSE),0),IFERROR(VLOOKUP(F37,'Справочники'!$G$5:$H$12,2,FALSE),0),IFERROR(VLOOKUP(G37,'Справочники'!$J$5:$K$12,2,FALSE),0)))</x:f>
      </x:c>
      <x:c r="P37" s="36"/>
    </x:row>
    <x:row r="38" ht="44" customHeight="1">
      <x:c r="A38" s="39"/>
      <x:c r="B38" s="36"/>
      <x:c r="C38" s="36"/>
      <x:c r="D38" s="42"/>
      <x:c r="E38" s="42"/>
      <x:c r="F38" s="42"/>
      <x:c r="G38" s="42"/>
      <x:c r="H38" s="42"/>
      <x:c r="I38" s="42"/>
      <x:c r="J38" s="36"/>
      <x:c r="K38" s="36"/>
      <x:c r="L38" s="36"/>
      <x:c r="M38" s="36"/>
      <x:c r="N38" s="45"/>
      <x:c r="O38" s="48" t="str">
        <x:f>IF(B38="","",AVERAGE(IFERROR(VLOOKUP(D38,'Справочники'!$A$5:$B$14,2,FALSE),0),IFERROR(VLOOKUP(E38,'Справочники'!$D$5:$E$12,2,FALSE),0),IFERROR(VLOOKUP(F38,'Справочники'!$G$5:$H$12,2,FALSE),0),IFERROR(VLOOKUP(G38,'Справочники'!$J$5:$K$12,2,FALSE),0)))</x:f>
      </x:c>
      <x:c r="P38" s="36"/>
    </x:row>
    <x:row r="39" ht="44" customHeight="1">
      <x:c r="A39" s="39"/>
      <x:c r="B39" s="36"/>
      <x:c r="C39" s="36"/>
      <x:c r="D39" s="42"/>
      <x:c r="E39" s="42"/>
      <x:c r="F39" s="42"/>
      <x:c r="G39" s="42"/>
      <x:c r="H39" s="42"/>
      <x:c r="I39" s="42"/>
      <x:c r="J39" s="36"/>
      <x:c r="K39" s="36"/>
      <x:c r="L39" s="36"/>
      <x:c r="M39" s="36"/>
      <x:c r="N39" s="45"/>
      <x:c r="O39" s="48" t="str">
        <x:f>IF(B39="","",AVERAGE(IFERROR(VLOOKUP(D39,'Справочники'!$A$5:$B$14,2,FALSE),0),IFERROR(VLOOKUP(E39,'Справочники'!$D$5:$E$12,2,FALSE),0),IFERROR(VLOOKUP(F39,'Справочники'!$G$5:$H$12,2,FALSE),0),IFERROR(VLOOKUP(G39,'Справочники'!$J$5:$K$12,2,FALSE),0)))</x:f>
      </x:c>
      <x:c r="P39" s="36"/>
    </x:row>
    <x:row r="40" ht="44" customHeight="1">
      <x:c r="A40" s="39"/>
      <x:c r="B40" s="36"/>
      <x:c r="C40" s="36"/>
      <x:c r="D40" s="42"/>
      <x:c r="E40" s="42"/>
      <x:c r="F40" s="42"/>
      <x:c r="G40" s="42"/>
      <x:c r="H40" s="42"/>
      <x:c r="I40" s="42"/>
      <x:c r="J40" s="36"/>
      <x:c r="K40" s="36"/>
      <x:c r="L40" s="36"/>
      <x:c r="M40" s="36"/>
      <x:c r="N40" s="45"/>
      <x:c r="O40" s="48" t="str">
        <x:f>IF(B40="","",AVERAGE(IFERROR(VLOOKUP(D40,'Справочники'!$A$5:$B$14,2,FALSE),0),IFERROR(VLOOKUP(E40,'Справочники'!$D$5:$E$12,2,FALSE),0),IFERROR(VLOOKUP(F40,'Справочники'!$G$5:$H$12,2,FALSE),0),IFERROR(VLOOKUP(G40,'Справочники'!$J$5:$K$12,2,FALSE),0)))</x:f>
      </x:c>
      <x:c r="P40" s="36"/>
    </x:row>
    <x:row r="41" ht="44" customHeight="1">
      <x:c r="A41" s="39"/>
      <x:c r="B41" s="36"/>
      <x:c r="C41" s="36"/>
      <x:c r="D41" s="42"/>
      <x:c r="E41" s="42"/>
      <x:c r="F41" s="42"/>
      <x:c r="G41" s="42"/>
      <x:c r="H41" s="42"/>
      <x:c r="I41" s="42"/>
      <x:c r="J41" s="36"/>
      <x:c r="K41" s="36"/>
      <x:c r="L41" s="36"/>
      <x:c r="M41" s="36"/>
      <x:c r="N41" s="45"/>
      <x:c r="O41" s="48" t="str">
        <x:f>IF(B41="","",AVERAGE(IFERROR(VLOOKUP(D41,'Справочники'!$A$5:$B$14,2,FALSE),0),IFERROR(VLOOKUP(E41,'Справочники'!$D$5:$E$12,2,FALSE),0),IFERROR(VLOOKUP(F41,'Справочники'!$G$5:$H$12,2,FALSE),0),IFERROR(VLOOKUP(G41,'Справочники'!$J$5:$K$12,2,FALSE),0)))</x:f>
      </x:c>
      <x:c r="P41" s="36"/>
    </x:row>
    <x:row r="42" ht="44" customHeight="1">
      <x:c r="A42" s="39"/>
      <x:c r="B42" s="36"/>
      <x:c r="C42" s="36"/>
      <x:c r="D42" s="42"/>
      <x:c r="E42" s="42"/>
      <x:c r="F42" s="42"/>
      <x:c r="G42" s="42"/>
      <x:c r="H42" s="42"/>
      <x:c r="I42" s="42"/>
      <x:c r="J42" s="36"/>
      <x:c r="K42" s="36"/>
      <x:c r="L42" s="36"/>
      <x:c r="M42" s="36"/>
      <x:c r="N42" s="45"/>
      <x:c r="O42" s="48" t="str">
        <x:f>IF(B42="","",AVERAGE(IFERROR(VLOOKUP(D42,'Справочники'!$A$5:$B$14,2,FALSE),0),IFERROR(VLOOKUP(E42,'Справочники'!$D$5:$E$12,2,FALSE),0),IFERROR(VLOOKUP(F42,'Справочники'!$G$5:$H$12,2,FALSE),0),IFERROR(VLOOKUP(G42,'Справочники'!$J$5:$K$12,2,FALSE),0)))</x:f>
      </x:c>
      <x:c r="P42" s="36"/>
    </x:row>
    <x:row r="43" ht="44" customHeight="1">
      <x:c r="A43" s="39"/>
      <x:c r="B43" s="36"/>
      <x:c r="C43" s="36"/>
      <x:c r="D43" s="42"/>
      <x:c r="E43" s="42"/>
      <x:c r="F43" s="42"/>
      <x:c r="G43" s="42"/>
      <x:c r="H43" s="42"/>
      <x:c r="I43" s="42"/>
      <x:c r="J43" s="36"/>
      <x:c r="K43" s="36"/>
      <x:c r="L43" s="36"/>
      <x:c r="M43" s="36"/>
      <x:c r="N43" s="45"/>
      <x:c r="O43" s="48" t="str">
        <x:f>IF(B43="","",AVERAGE(IFERROR(VLOOKUP(D43,'Справочники'!$A$5:$B$14,2,FALSE),0),IFERROR(VLOOKUP(E43,'Справочники'!$D$5:$E$12,2,FALSE),0),IFERROR(VLOOKUP(F43,'Справочники'!$G$5:$H$12,2,FALSE),0),IFERROR(VLOOKUP(G43,'Справочники'!$J$5:$K$12,2,FALSE),0)))</x:f>
      </x:c>
      <x:c r="P43" s="36"/>
    </x:row>
    <x:row r="44" ht="44" customHeight="1">
      <x:c r="A44" s="39"/>
      <x:c r="B44" s="36"/>
      <x:c r="C44" s="36"/>
      <x:c r="D44" s="42"/>
      <x:c r="E44" s="42"/>
      <x:c r="F44" s="42"/>
      <x:c r="G44" s="42"/>
      <x:c r="H44" s="42"/>
      <x:c r="I44" s="42"/>
      <x:c r="J44" s="36"/>
      <x:c r="K44" s="36"/>
      <x:c r="L44" s="36"/>
      <x:c r="M44" s="36"/>
      <x:c r="N44" s="45"/>
      <x:c r="O44" s="48" t="str">
        <x:f>IF(B44="","",AVERAGE(IFERROR(VLOOKUP(D44,'Справочники'!$A$5:$B$14,2,FALSE),0),IFERROR(VLOOKUP(E44,'Справочники'!$D$5:$E$12,2,FALSE),0),IFERROR(VLOOKUP(F44,'Справочники'!$G$5:$H$12,2,FALSE),0),IFERROR(VLOOKUP(G44,'Справочники'!$J$5:$K$12,2,FALSE),0)))</x:f>
      </x:c>
      <x:c r="P44" s="36"/>
    </x:row>
    <x:row r="45" ht="44" customHeight="1">
      <x:c r="A45" s="39"/>
      <x:c r="B45" s="36"/>
      <x:c r="C45" s="36"/>
      <x:c r="D45" s="42"/>
      <x:c r="E45" s="42"/>
      <x:c r="F45" s="42"/>
      <x:c r="G45" s="42"/>
      <x:c r="H45" s="42"/>
      <x:c r="I45" s="42"/>
      <x:c r="J45" s="36"/>
      <x:c r="K45" s="36"/>
      <x:c r="L45" s="36"/>
      <x:c r="M45" s="36"/>
      <x:c r="N45" s="45"/>
      <x:c r="O45" s="48" t="str">
        <x:f>IF(B45="","",AVERAGE(IFERROR(VLOOKUP(D45,'Справочники'!$A$5:$B$14,2,FALSE),0),IFERROR(VLOOKUP(E45,'Справочники'!$D$5:$E$12,2,FALSE),0),IFERROR(VLOOKUP(F45,'Справочники'!$G$5:$H$12,2,FALSE),0),IFERROR(VLOOKUP(G45,'Справочники'!$J$5:$K$12,2,FALSE),0)))</x:f>
      </x:c>
      <x:c r="P45" s="36"/>
    </x:row>
    <x:row r="46" ht="44" customHeight="1">
      <x:c r="A46" s="39"/>
      <x:c r="B46" s="36"/>
      <x:c r="C46" s="36"/>
      <x:c r="D46" s="42"/>
      <x:c r="E46" s="42"/>
      <x:c r="F46" s="42"/>
      <x:c r="G46" s="42"/>
      <x:c r="H46" s="42"/>
      <x:c r="I46" s="42"/>
      <x:c r="J46" s="36"/>
      <x:c r="K46" s="36"/>
      <x:c r="L46" s="36"/>
      <x:c r="M46" s="36"/>
      <x:c r="N46" s="45"/>
      <x:c r="O46" s="48" t="str">
        <x:f>IF(B46="","",AVERAGE(IFERROR(VLOOKUP(D46,'Справочники'!$A$5:$B$14,2,FALSE),0),IFERROR(VLOOKUP(E46,'Справочники'!$D$5:$E$12,2,FALSE),0),IFERROR(VLOOKUP(F46,'Справочники'!$G$5:$H$12,2,FALSE),0),IFERROR(VLOOKUP(G46,'Справочники'!$J$5:$K$12,2,FALSE),0)))</x:f>
      </x:c>
      <x:c r="P46" s="36"/>
    </x:row>
    <x:row r="47" ht="44" customHeight="1">
      <x:c r="A47" s="39"/>
      <x:c r="B47" s="36"/>
      <x:c r="C47" s="36"/>
      <x:c r="D47" s="42"/>
      <x:c r="E47" s="42"/>
      <x:c r="F47" s="42"/>
      <x:c r="G47" s="42"/>
      <x:c r="H47" s="42"/>
      <x:c r="I47" s="42"/>
      <x:c r="J47" s="36"/>
      <x:c r="K47" s="36"/>
      <x:c r="L47" s="36"/>
      <x:c r="M47" s="36"/>
      <x:c r="N47" s="45"/>
      <x:c r="O47" s="48" t="str">
        <x:f>IF(B47="","",AVERAGE(IFERROR(VLOOKUP(D47,'Справочники'!$A$5:$B$14,2,FALSE),0),IFERROR(VLOOKUP(E47,'Справочники'!$D$5:$E$12,2,FALSE),0),IFERROR(VLOOKUP(F47,'Справочники'!$G$5:$H$12,2,FALSE),0),IFERROR(VLOOKUP(G47,'Справочники'!$J$5:$K$12,2,FALSE),0)))</x:f>
      </x:c>
      <x:c r="P47" s="36"/>
    </x:row>
    <x:row r="48" ht="44" customHeight="1">
      <x:c r="A48" s="39"/>
      <x:c r="B48" s="36"/>
      <x:c r="C48" s="36"/>
      <x:c r="D48" s="42"/>
      <x:c r="E48" s="42"/>
      <x:c r="F48" s="42"/>
      <x:c r="G48" s="42"/>
      <x:c r="H48" s="42"/>
      <x:c r="I48" s="42"/>
      <x:c r="J48" s="36"/>
      <x:c r="K48" s="36"/>
      <x:c r="L48" s="36"/>
      <x:c r="M48" s="36"/>
      <x:c r="N48" s="45"/>
      <x:c r="O48" s="48" t="str">
        <x:f>IF(B48="","",AVERAGE(IFERROR(VLOOKUP(D48,'Справочники'!$A$5:$B$14,2,FALSE),0),IFERROR(VLOOKUP(E48,'Справочники'!$D$5:$E$12,2,FALSE),0),IFERROR(VLOOKUP(F48,'Справочники'!$G$5:$H$12,2,FALSE),0),IFERROR(VLOOKUP(G48,'Справочники'!$J$5:$K$12,2,FALSE),0)))</x:f>
      </x:c>
      <x:c r="P48" s="36"/>
    </x:row>
    <x:row r="49" ht="44" customHeight="1">
      <x:c r="A49" s="39"/>
      <x:c r="B49" s="36"/>
      <x:c r="C49" s="36"/>
      <x:c r="D49" s="42"/>
      <x:c r="E49" s="42"/>
      <x:c r="F49" s="42"/>
      <x:c r="G49" s="42"/>
      <x:c r="H49" s="42"/>
      <x:c r="I49" s="42"/>
      <x:c r="J49" s="36"/>
      <x:c r="K49" s="36"/>
      <x:c r="L49" s="36"/>
      <x:c r="M49" s="36"/>
      <x:c r="N49" s="45"/>
      <x:c r="O49" s="48" t="str">
        <x:f>IF(B49="","",AVERAGE(IFERROR(VLOOKUP(D49,'Справочники'!$A$5:$B$14,2,FALSE),0),IFERROR(VLOOKUP(E49,'Справочники'!$D$5:$E$12,2,FALSE),0),IFERROR(VLOOKUP(F49,'Справочники'!$G$5:$H$12,2,FALSE),0),IFERROR(VLOOKUP(G49,'Справочники'!$J$5:$K$12,2,FALSE),0)))</x:f>
      </x:c>
      <x:c r="P49" s="36"/>
    </x:row>
    <x:row r="50" ht="44" customHeight="1">
      <x:c r="A50" s="39"/>
      <x:c r="B50" s="36"/>
      <x:c r="C50" s="36"/>
      <x:c r="D50" s="42"/>
      <x:c r="E50" s="42"/>
      <x:c r="F50" s="42"/>
      <x:c r="G50" s="42"/>
      <x:c r="H50" s="42"/>
      <x:c r="I50" s="42"/>
      <x:c r="J50" s="36"/>
      <x:c r="K50" s="36"/>
      <x:c r="L50" s="36"/>
      <x:c r="M50" s="36"/>
      <x:c r="N50" s="45"/>
      <x:c r="O50" s="48" t="str">
        <x:f>IF(B50="","",AVERAGE(IFERROR(VLOOKUP(D50,'Справочники'!$A$5:$B$14,2,FALSE),0),IFERROR(VLOOKUP(E50,'Справочники'!$D$5:$E$12,2,FALSE),0),IFERROR(VLOOKUP(F50,'Справочники'!$G$5:$H$12,2,FALSE),0),IFERROR(VLOOKUP(G50,'Справочники'!$J$5:$K$12,2,FALSE),0)))</x:f>
      </x:c>
      <x:c r="P50" s="36"/>
    </x:row>
    <x:row r="51" ht="44" customHeight="1">
      <x:c r="A51" s="39"/>
      <x:c r="B51" s="36"/>
      <x:c r="C51" s="36"/>
      <x:c r="D51" s="42"/>
      <x:c r="E51" s="42"/>
      <x:c r="F51" s="42"/>
      <x:c r="G51" s="42"/>
      <x:c r="H51" s="42"/>
      <x:c r="I51" s="42"/>
      <x:c r="J51" s="36"/>
      <x:c r="K51" s="36"/>
      <x:c r="L51" s="36"/>
      <x:c r="M51" s="36"/>
      <x:c r="N51" s="45"/>
      <x:c r="O51" s="48" t="str">
        <x:f>IF(B51="","",AVERAGE(IFERROR(VLOOKUP(D51,'Справочники'!$A$5:$B$14,2,FALSE),0),IFERROR(VLOOKUP(E51,'Справочники'!$D$5:$E$12,2,FALSE),0),IFERROR(VLOOKUP(F51,'Справочники'!$G$5:$H$12,2,FALSE),0),IFERROR(VLOOKUP(G51,'Справочники'!$J$5:$K$12,2,FALSE),0)))</x:f>
      </x:c>
      <x:c r="P51" s="36"/>
    </x:row>
    <x:row r="52" ht="44" customHeight="1">
      <x:c r="A52" s="39"/>
      <x:c r="B52" s="36"/>
      <x:c r="C52" s="36"/>
      <x:c r="D52" s="42"/>
      <x:c r="E52" s="42"/>
      <x:c r="F52" s="42"/>
      <x:c r="G52" s="42"/>
      <x:c r="H52" s="42"/>
      <x:c r="I52" s="42"/>
      <x:c r="J52" s="36"/>
      <x:c r="K52" s="36"/>
      <x:c r="L52" s="36"/>
      <x:c r="M52" s="36"/>
      <x:c r="N52" s="45"/>
      <x:c r="O52" s="48" t="str">
        <x:f>IF(B52="","",AVERAGE(IFERROR(VLOOKUP(D52,'Справочники'!$A$5:$B$14,2,FALSE),0),IFERROR(VLOOKUP(E52,'Справочники'!$D$5:$E$12,2,FALSE),0),IFERROR(VLOOKUP(F52,'Справочники'!$G$5:$H$12,2,FALSE),0),IFERROR(VLOOKUP(G52,'Справочники'!$J$5:$K$12,2,FALSE),0)))</x:f>
      </x:c>
      <x:c r="P52" s="36"/>
    </x:row>
    <x:row r="53" ht="44" customHeight="1">
      <x:c r="A53" s="39"/>
      <x:c r="B53" s="36"/>
      <x:c r="C53" s="36"/>
      <x:c r="D53" s="42"/>
      <x:c r="E53" s="42"/>
      <x:c r="F53" s="42"/>
      <x:c r="G53" s="42"/>
      <x:c r="H53" s="42"/>
      <x:c r="I53" s="42"/>
      <x:c r="J53" s="36"/>
      <x:c r="K53" s="36"/>
      <x:c r="L53" s="36"/>
      <x:c r="M53" s="36"/>
      <x:c r="N53" s="45"/>
      <x:c r="O53" s="48" t="str">
        <x:f>IF(B53="","",AVERAGE(IFERROR(VLOOKUP(D53,'Справочники'!$A$5:$B$14,2,FALSE),0),IFERROR(VLOOKUP(E53,'Справочники'!$D$5:$E$12,2,FALSE),0),IFERROR(VLOOKUP(F53,'Справочники'!$G$5:$H$12,2,FALSE),0),IFERROR(VLOOKUP(G53,'Справочники'!$J$5:$K$12,2,FALSE),0)))</x:f>
      </x:c>
      <x:c r="P53" s="36"/>
    </x:row>
    <x:row r="54" ht="44" customHeight="1">
      <x:c r="A54" s="39"/>
      <x:c r="B54" s="36"/>
      <x:c r="C54" s="36"/>
      <x:c r="D54" s="42"/>
      <x:c r="E54" s="42"/>
      <x:c r="F54" s="42"/>
      <x:c r="G54" s="42"/>
      <x:c r="H54" s="42"/>
      <x:c r="I54" s="42"/>
      <x:c r="J54" s="36"/>
      <x:c r="K54" s="36"/>
      <x:c r="L54" s="36"/>
      <x:c r="M54" s="36"/>
      <x:c r="N54" s="45"/>
      <x:c r="O54" s="48" t="str">
        <x:f>IF(B54="","",AVERAGE(IFERROR(VLOOKUP(D54,'Справочники'!$A$5:$B$14,2,FALSE),0),IFERROR(VLOOKUP(E54,'Справочники'!$D$5:$E$12,2,FALSE),0),IFERROR(VLOOKUP(F54,'Справочники'!$G$5:$H$12,2,FALSE),0),IFERROR(VLOOKUP(G54,'Справочники'!$J$5:$K$12,2,FALSE),0)))</x:f>
      </x:c>
      <x:c r="P54" s="36"/>
    </x:row>
    <x:row r="55" ht="44" customHeight="1">
      <x:c r="A55" s="39"/>
      <x:c r="B55" s="36"/>
      <x:c r="C55" s="36"/>
      <x:c r="D55" s="42"/>
      <x:c r="E55" s="42"/>
      <x:c r="F55" s="42"/>
      <x:c r="G55" s="42"/>
      <x:c r="H55" s="42"/>
      <x:c r="I55" s="42"/>
      <x:c r="J55" s="36"/>
      <x:c r="K55" s="36"/>
      <x:c r="L55" s="36"/>
      <x:c r="M55" s="36"/>
      <x:c r="N55" s="45"/>
      <x:c r="O55" s="48" t="str">
        <x:f>IF(B55="","",AVERAGE(IFERROR(VLOOKUP(D55,'Справочники'!$A$5:$B$14,2,FALSE),0),IFERROR(VLOOKUP(E55,'Справочники'!$D$5:$E$12,2,FALSE),0),IFERROR(VLOOKUP(F55,'Справочники'!$G$5:$H$12,2,FALSE),0),IFERROR(VLOOKUP(G55,'Справочники'!$J$5:$K$12,2,FALSE),0)))</x:f>
      </x:c>
      <x:c r="P55" s="36"/>
    </x:row>
    <x:row r="56" ht="44" customHeight="1">
      <x:c r="A56" s="39"/>
      <x:c r="B56" s="36"/>
      <x:c r="C56" s="36"/>
      <x:c r="D56" s="42"/>
      <x:c r="E56" s="42"/>
      <x:c r="F56" s="42"/>
      <x:c r="G56" s="42"/>
      <x:c r="H56" s="42"/>
      <x:c r="I56" s="42"/>
      <x:c r="J56" s="36"/>
      <x:c r="K56" s="36"/>
      <x:c r="L56" s="36"/>
      <x:c r="M56" s="36"/>
      <x:c r="N56" s="45"/>
      <x:c r="O56" s="48" t="str">
        <x:f>IF(B56="","",AVERAGE(IFERROR(VLOOKUP(D56,'Справочники'!$A$5:$B$14,2,FALSE),0),IFERROR(VLOOKUP(E56,'Справочники'!$D$5:$E$12,2,FALSE),0),IFERROR(VLOOKUP(F56,'Справочники'!$G$5:$H$12,2,FALSE),0),IFERROR(VLOOKUP(G56,'Справочники'!$J$5:$K$12,2,FALSE),0)))</x:f>
      </x:c>
      <x:c r="P56" s="36"/>
    </x:row>
    <x:row r="57" ht="44" customHeight="1">
      <x:c r="A57" s="39"/>
      <x:c r="B57" s="36"/>
      <x:c r="C57" s="36"/>
      <x:c r="D57" s="42"/>
      <x:c r="E57" s="42"/>
      <x:c r="F57" s="42"/>
      <x:c r="G57" s="42"/>
      <x:c r="H57" s="42"/>
      <x:c r="I57" s="42"/>
      <x:c r="J57" s="36"/>
      <x:c r="K57" s="36"/>
      <x:c r="L57" s="36"/>
      <x:c r="M57" s="36"/>
      <x:c r="N57" s="45"/>
      <x:c r="O57" s="48" t="str">
        <x:f>IF(B57="","",AVERAGE(IFERROR(VLOOKUP(D57,'Справочники'!$A$5:$B$14,2,FALSE),0),IFERROR(VLOOKUP(E57,'Справочники'!$D$5:$E$12,2,FALSE),0),IFERROR(VLOOKUP(F57,'Справочники'!$G$5:$H$12,2,FALSE),0),IFERROR(VLOOKUP(G57,'Справочники'!$J$5:$K$12,2,FALSE),0)))</x:f>
      </x:c>
      <x:c r="P57" s="36"/>
    </x:row>
    <x:row r="58" ht="44" customHeight="1">
      <x:c r="A58" s="39"/>
      <x:c r="B58" s="36"/>
      <x:c r="C58" s="36"/>
      <x:c r="D58" s="42"/>
      <x:c r="E58" s="42"/>
      <x:c r="F58" s="42"/>
      <x:c r="G58" s="42"/>
      <x:c r="H58" s="42"/>
      <x:c r="I58" s="42"/>
      <x:c r="J58" s="36"/>
      <x:c r="K58" s="36"/>
      <x:c r="L58" s="36"/>
      <x:c r="M58" s="36"/>
      <x:c r="N58" s="45"/>
      <x:c r="O58" s="48" t="str">
        <x:f>IF(B58="","",AVERAGE(IFERROR(VLOOKUP(D58,'Справочники'!$A$5:$B$14,2,FALSE),0),IFERROR(VLOOKUP(E58,'Справочники'!$D$5:$E$12,2,FALSE),0),IFERROR(VLOOKUP(F58,'Справочники'!$G$5:$H$12,2,FALSE),0),IFERROR(VLOOKUP(G58,'Справочники'!$J$5:$K$12,2,FALSE),0)))</x:f>
      </x:c>
      <x:c r="P58" s="36"/>
    </x:row>
    <x:row r="59" ht="44" customHeight="1">
      <x:c r="A59" s="39"/>
      <x:c r="B59" s="36"/>
      <x:c r="C59" s="36"/>
      <x:c r="D59" s="42"/>
      <x:c r="E59" s="42"/>
      <x:c r="F59" s="42"/>
      <x:c r="G59" s="42"/>
      <x:c r="H59" s="42"/>
      <x:c r="I59" s="42"/>
      <x:c r="J59" s="36"/>
      <x:c r="K59" s="36"/>
      <x:c r="L59" s="36"/>
      <x:c r="M59" s="36"/>
      <x:c r="N59" s="45"/>
      <x:c r="O59" s="48" t="str">
        <x:f>IF(B59="","",AVERAGE(IFERROR(VLOOKUP(D59,'Справочники'!$A$5:$B$14,2,FALSE),0),IFERROR(VLOOKUP(E59,'Справочники'!$D$5:$E$12,2,FALSE),0),IFERROR(VLOOKUP(F59,'Справочники'!$G$5:$H$12,2,FALSE),0),IFERROR(VLOOKUP(G59,'Справочники'!$J$5:$K$12,2,FALSE),0)))</x:f>
      </x:c>
      <x:c r="P59" s="36"/>
    </x:row>
    <x:row r="60" ht="44" customHeight="1">
      <x:c r="A60" s="39"/>
      <x:c r="B60" s="36"/>
      <x:c r="C60" s="36"/>
      <x:c r="D60" s="42"/>
      <x:c r="E60" s="42"/>
      <x:c r="F60" s="42"/>
      <x:c r="G60" s="42"/>
      <x:c r="H60" s="42"/>
      <x:c r="I60" s="42"/>
      <x:c r="J60" s="36"/>
      <x:c r="K60" s="36"/>
      <x:c r="L60" s="36"/>
      <x:c r="M60" s="36"/>
      <x:c r="N60" s="45"/>
      <x:c r="O60" s="48" t="str">
        <x:f>IF(B60="","",AVERAGE(IFERROR(VLOOKUP(D60,'Справочники'!$A$5:$B$14,2,FALSE),0),IFERROR(VLOOKUP(E60,'Справочники'!$D$5:$E$12,2,FALSE),0),IFERROR(VLOOKUP(F60,'Справочники'!$G$5:$H$12,2,FALSE),0),IFERROR(VLOOKUP(G60,'Справочники'!$J$5:$K$12,2,FALSE),0)))</x:f>
      </x:c>
      <x:c r="P60" s="36"/>
    </x:row>
    <x:row r="61" ht="44" customHeight="1">
      <x:c r="A61" s="39"/>
      <x:c r="B61" s="36"/>
      <x:c r="C61" s="36"/>
      <x:c r="D61" s="42"/>
      <x:c r="E61" s="42"/>
      <x:c r="F61" s="42"/>
      <x:c r="G61" s="42"/>
      <x:c r="H61" s="42"/>
      <x:c r="I61" s="42"/>
      <x:c r="J61" s="36"/>
      <x:c r="K61" s="36"/>
      <x:c r="L61" s="36"/>
      <x:c r="M61" s="36"/>
      <x:c r="N61" s="45"/>
      <x:c r="O61" s="48" t="str">
        <x:f>IF(B61="","",AVERAGE(IFERROR(VLOOKUP(D61,'Справочники'!$A$5:$B$14,2,FALSE),0),IFERROR(VLOOKUP(E61,'Справочники'!$D$5:$E$12,2,FALSE),0),IFERROR(VLOOKUP(F61,'Справочники'!$G$5:$H$12,2,FALSE),0),IFERROR(VLOOKUP(G61,'Справочники'!$J$5:$K$12,2,FALSE),0)))</x:f>
      </x:c>
      <x:c r="P61" s="36"/>
    </x:row>
    <x:row r="62" ht="44" customHeight="1">
      <x:c r="A62" s="39"/>
      <x:c r="B62" s="36"/>
      <x:c r="C62" s="36"/>
      <x:c r="D62" s="42"/>
      <x:c r="E62" s="42"/>
      <x:c r="F62" s="42"/>
      <x:c r="G62" s="42"/>
      <x:c r="H62" s="42"/>
      <x:c r="I62" s="42"/>
      <x:c r="J62" s="36"/>
      <x:c r="K62" s="36"/>
      <x:c r="L62" s="36"/>
      <x:c r="M62" s="36"/>
      <x:c r="N62" s="45"/>
      <x:c r="O62" s="48" t="str">
        <x:f>IF(B62="","",AVERAGE(IFERROR(VLOOKUP(D62,'Справочники'!$A$5:$B$14,2,FALSE),0),IFERROR(VLOOKUP(E62,'Справочники'!$D$5:$E$12,2,FALSE),0),IFERROR(VLOOKUP(F62,'Справочники'!$G$5:$H$12,2,FALSE),0),IFERROR(VLOOKUP(G62,'Справочники'!$J$5:$K$12,2,FALSE),0)))</x:f>
      </x:c>
      <x:c r="P62" s="36"/>
    </x:row>
    <x:row r="63" ht="44" customHeight="1">
      <x:c r="A63" s="39"/>
      <x:c r="B63" s="36"/>
      <x:c r="C63" s="36"/>
      <x:c r="D63" s="42"/>
      <x:c r="E63" s="42"/>
      <x:c r="F63" s="42"/>
      <x:c r="G63" s="42"/>
      <x:c r="H63" s="42"/>
      <x:c r="I63" s="42"/>
      <x:c r="J63" s="36"/>
      <x:c r="K63" s="36"/>
      <x:c r="L63" s="36"/>
      <x:c r="M63" s="36"/>
      <x:c r="N63" s="45"/>
      <x:c r="O63" s="48" t="str">
        <x:f>IF(B63="","",AVERAGE(IFERROR(VLOOKUP(D63,'Справочники'!$A$5:$B$14,2,FALSE),0),IFERROR(VLOOKUP(E63,'Справочники'!$D$5:$E$12,2,FALSE),0),IFERROR(VLOOKUP(F63,'Справочники'!$G$5:$H$12,2,FALSE),0),IFERROR(VLOOKUP(G63,'Справочники'!$J$5:$K$12,2,FALSE),0)))</x:f>
      </x:c>
      <x:c r="P63" s="36"/>
    </x:row>
    <x:row r="64" ht="44" customHeight="1">
      <x:c r="A64" s="39"/>
      <x:c r="B64" s="36"/>
      <x:c r="C64" s="36"/>
      <x:c r="D64" s="42"/>
      <x:c r="E64" s="42"/>
      <x:c r="F64" s="42"/>
      <x:c r="G64" s="42"/>
      <x:c r="H64" s="42"/>
      <x:c r="I64" s="42"/>
      <x:c r="J64" s="36"/>
      <x:c r="K64" s="36"/>
      <x:c r="L64" s="36"/>
      <x:c r="M64" s="36"/>
      <x:c r="N64" s="45"/>
      <x:c r="O64" s="48" t="str">
        <x:f>IF(B64="","",AVERAGE(IFERROR(VLOOKUP(D64,'Справочники'!$A$5:$B$14,2,FALSE),0),IFERROR(VLOOKUP(E64,'Справочники'!$D$5:$E$12,2,FALSE),0),IFERROR(VLOOKUP(F64,'Справочники'!$G$5:$H$12,2,FALSE),0),IFERROR(VLOOKUP(G64,'Справочники'!$J$5:$K$12,2,FALSE),0)))</x:f>
      </x:c>
      <x:c r="P64" s="36"/>
    </x:row>
    <x:row r="65" ht="44" customHeight="1">
      <x:c r="A65" s="39"/>
      <x:c r="B65" s="36"/>
      <x:c r="C65" s="36"/>
      <x:c r="D65" s="42"/>
      <x:c r="E65" s="42"/>
      <x:c r="F65" s="42"/>
      <x:c r="G65" s="42"/>
      <x:c r="H65" s="42"/>
      <x:c r="I65" s="42"/>
      <x:c r="J65" s="36"/>
      <x:c r="K65" s="36"/>
      <x:c r="L65" s="36"/>
      <x:c r="M65" s="36"/>
      <x:c r="N65" s="45"/>
      <x:c r="O65" s="48" t="str">
        <x:f>IF(B65="","",AVERAGE(IFERROR(VLOOKUP(D65,'Справочники'!$A$5:$B$14,2,FALSE),0),IFERROR(VLOOKUP(E65,'Справочники'!$D$5:$E$12,2,FALSE),0),IFERROR(VLOOKUP(F65,'Справочники'!$G$5:$H$12,2,FALSE),0),IFERROR(VLOOKUP(G65,'Справочники'!$J$5:$K$12,2,FALSE),0)))</x:f>
      </x:c>
      <x:c r="P65" s="36"/>
    </x:row>
    <x:row r="66" ht="44" customHeight="1">
      <x:c r="A66" s="39"/>
      <x:c r="B66" s="36"/>
      <x:c r="C66" s="36"/>
      <x:c r="D66" s="42"/>
      <x:c r="E66" s="42"/>
      <x:c r="F66" s="42"/>
      <x:c r="G66" s="42"/>
      <x:c r="H66" s="42"/>
      <x:c r="I66" s="42"/>
      <x:c r="J66" s="36"/>
      <x:c r="K66" s="36"/>
      <x:c r="L66" s="36"/>
      <x:c r="M66" s="36"/>
      <x:c r="N66" s="45"/>
      <x:c r="O66" s="48" t="str">
        <x:f>IF(B66="","",AVERAGE(IFERROR(VLOOKUP(D66,'Справочники'!$A$5:$B$14,2,FALSE),0),IFERROR(VLOOKUP(E66,'Справочники'!$D$5:$E$12,2,FALSE),0),IFERROR(VLOOKUP(F66,'Справочники'!$G$5:$H$12,2,FALSE),0),IFERROR(VLOOKUP(G66,'Справочники'!$J$5:$K$12,2,FALSE),0)))</x:f>
      </x:c>
      <x:c r="P66" s="36"/>
    </x:row>
    <x:row r="67" ht="44" customHeight="1">
      <x:c r="A67" s="39"/>
      <x:c r="B67" s="36"/>
      <x:c r="C67" s="36"/>
      <x:c r="D67" s="42"/>
      <x:c r="E67" s="42"/>
      <x:c r="F67" s="42"/>
      <x:c r="G67" s="42"/>
      <x:c r="H67" s="42"/>
      <x:c r="I67" s="42"/>
      <x:c r="J67" s="36"/>
      <x:c r="K67" s="36"/>
      <x:c r="L67" s="36"/>
      <x:c r="M67" s="36"/>
      <x:c r="N67" s="45"/>
      <x:c r="O67" s="48" t="str">
        <x:f>IF(B67="","",AVERAGE(IFERROR(VLOOKUP(D67,'Справочники'!$A$5:$B$14,2,FALSE),0),IFERROR(VLOOKUP(E67,'Справочники'!$D$5:$E$12,2,FALSE),0),IFERROR(VLOOKUP(F67,'Справочники'!$G$5:$H$12,2,FALSE),0),IFERROR(VLOOKUP(G67,'Справочники'!$J$5:$K$12,2,FALSE),0)))</x:f>
      </x:c>
      <x:c r="P67" s="36"/>
    </x:row>
    <x:row r="68" ht="44" customHeight="1">
      <x:c r="A68" s="39"/>
      <x:c r="B68" s="36"/>
      <x:c r="C68" s="36"/>
      <x:c r="D68" s="42"/>
      <x:c r="E68" s="42"/>
      <x:c r="F68" s="42"/>
      <x:c r="G68" s="42"/>
      <x:c r="H68" s="42"/>
      <x:c r="I68" s="42"/>
      <x:c r="J68" s="36"/>
      <x:c r="K68" s="36"/>
      <x:c r="L68" s="36"/>
      <x:c r="M68" s="36"/>
      <x:c r="N68" s="45"/>
      <x:c r="O68" s="48" t="str">
        <x:f>IF(B68="","",AVERAGE(IFERROR(VLOOKUP(D68,'Справочники'!$A$5:$B$14,2,FALSE),0),IFERROR(VLOOKUP(E68,'Справочники'!$D$5:$E$12,2,FALSE),0),IFERROR(VLOOKUP(F68,'Справочники'!$G$5:$H$12,2,FALSE),0),IFERROR(VLOOKUP(G68,'Справочники'!$J$5:$K$12,2,FALSE),0)))</x:f>
      </x:c>
      <x:c r="P68" s="36"/>
    </x:row>
    <x:row r="69" ht="44" customHeight="1">
      <x:c r="A69" s="39"/>
      <x:c r="B69" s="36"/>
      <x:c r="C69" s="36"/>
      <x:c r="D69" s="42"/>
      <x:c r="E69" s="42"/>
      <x:c r="F69" s="42"/>
      <x:c r="G69" s="42"/>
      <x:c r="H69" s="42"/>
      <x:c r="I69" s="42"/>
      <x:c r="J69" s="36"/>
      <x:c r="K69" s="36"/>
      <x:c r="L69" s="36"/>
      <x:c r="M69" s="36"/>
      <x:c r="N69" s="45"/>
      <x:c r="O69" s="48" t="str">
        <x:f>IF(B69="","",AVERAGE(IFERROR(VLOOKUP(D69,'Справочники'!$A$5:$B$14,2,FALSE),0),IFERROR(VLOOKUP(E69,'Справочники'!$D$5:$E$12,2,FALSE),0),IFERROR(VLOOKUP(F69,'Справочники'!$G$5:$H$12,2,FALSE),0),IFERROR(VLOOKUP(G69,'Справочники'!$J$5:$K$12,2,FALSE),0)))</x:f>
      </x:c>
      <x:c r="P69" s="36"/>
    </x:row>
    <x:row r="70" ht="44" customHeight="1">
      <x:c r="A70" s="39"/>
      <x:c r="B70" s="36"/>
      <x:c r="C70" s="36"/>
      <x:c r="D70" s="42"/>
      <x:c r="E70" s="42"/>
      <x:c r="F70" s="42"/>
      <x:c r="G70" s="42"/>
      <x:c r="H70" s="42"/>
      <x:c r="I70" s="42"/>
      <x:c r="J70" s="36"/>
      <x:c r="K70" s="36"/>
      <x:c r="L70" s="36"/>
      <x:c r="M70" s="36"/>
      <x:c r="N70" s="45"/>
      <x:c r="O70" s="48" t="str">
        <x:f>IF(B70="","",AVERAGE(IFERROR(VLOOKUP(D70,'Справочники'!$A$5:$B$14,2,FALSE),0),IFERROR(VLOOKUP(E70,'Справочники'!$D$5:$E$12,2,FALSE),0),IFERROR(VLOOKUP(F70,'Справочники'!$G$5:$H$12,2,FALSE),0),IFERROR(VLOOKUP(G70,'Справочники'!$J$5:$K$12,2,FALSE),0)))</x:f>
      </x:c>
      <x:c r="P70" s="36"/>
    </x:row>
    <x:row r="71" ht="44" customHeight="1">
      <x:c r="A71" s="39"/>
      <x:c r="B71" s="36"/>
      <x:c r="C71" s="36"/>
      <x:c r="D71" s="42"/>
      <x:c r="E71" s="42"/>
      <x:c r="F71" s="42"/>
      <x:c r="G71" s="42"/>
      <x:c r="H71" s="42"/>
      <x:c r="I71" s="42"/>
      <x:c r="J71" s="36"/>
      <x:c r="K71" s="36"/>
      <x:c r="L71" s="36"/>
      <x:c r="M71" s="36"/>
      <x:c r="N71" s="45"/>
      <x:c r="O71" s="48" t="str">
        <x:f>IF(B71="","",AVERAGE(IFERROR(VLOOKUP(D71,'Справочники'!$A$5:$B$14,2,FALSE),0),IFERROR(VLOOKUP(E71,'Справочники'!$D$5:$E$12,2,FALSE),0),IFERROR(VLOOKUP(F71,'Справочники'!$G$5:$H$12,2,FALSE),0),IFERROR(VLOOKUP(G71,'Справочники'!$J$5:$K$12,2,FALSE),0)))</x:f>
      </x:c>
      <x:c r="P71" s="36"/>
    </x:row>
    <x:row r="72" ht="44" customHeight="1">
      <x:c r="A72" s="39"/>
      <x:c r="B72" s="36"/>
      <x:c r="C72" s="36"/>
      <x:c r="D72" s="42"/>
      <x:c r="E72" s="42"/>
      <x:c r="F72" s="42"/>
      <x:c r="G72" s="42"/>
      <x:c r="H72" s="42"/>
      <x:c r="I72" s="42"/>
      <x:c r="J72" s="36"/>
      <x:c r="K72" s="36"/>
      <x:c r="L72" s="36"/>
      <x:c r="M72" s="36"/>
      <x:c r="N72" s="45"/>
      <x:c r="O72" s="48" t="str">
        <x:f>IF(B72="","",AVERAGE(IFERROR(VLOOKUP(D72,'Справочники'!$A$5:$B$14,2,FALSE),0),IFERROR(VLOOKUP(E72,'Справочники'!$D$5:$E$12,2,FALSE),0),IFERROR(VLOOKUP(F72,'Справочники'!$G$5:$H$12,2,FALSE),0),IFERROR(VLOOKUP(G72,'Справочники'!$J$5:$K$12,2,FALSE),0)))</x:f>
      </x:c>
      <x:c r="P72" s="36"/>
    </x:row>
    <x:row r="73" ht="44" customHeight="1">
      <x:c r="A73" s="39"/>
      <x:c r="B73" s="36"/>
      <x:c r="C73" s="36"/>
      <x:c r="D73" s="42"/>
      <x:c r="E73" s="42"/>
      <x:c r="F73" s="42"/>
      <x:c r="G73" s="42"/>
      <x:c r="H73" s="42"/>
      <x:c r="I73" s="42"/>
      <x:c r="J73" s="36"/>
      <x:c r="K73" s="36"/>
      <x:c r="L73" s="36"/>
      <x:c r="M73" s="36"/>
      <x:c r="N73" s="45"/>
      <x:c r="O73" s="48" t="str">
        <x:f>IF(B73="","",AVERAGE(IFERROR(VLOOKUP(D73,'Справочники'!$A$5:$B$14,2,FALSE),0),IFERROR(VLOOKUP(E73,'Справочники'!$D$5:$E$12,2,FALSE),0),IFERROR(VLOOKUP(F73,'Справочники'!$G$5:$H$12,2,FALSE),0),IFERROR(VLOOKUP(G73,'Справочники'!$J$5:$K$12,2,FALSE),0)))</x:f>
      </x:c>
      <x:c r="P73" s="36"/>
    </x:row>
    <x:row r="74" ht="44" customHeight="1">
      <x:c r="A74" s="39"/>
      <x:c r="B74" s="36"/>
      <x:c r="C74" s="36"/>
      <x:c r="D74" s="42"/>
      <x:c r="E74" s="42"/>
      <x:c r="F74" s="42"/>
      <x:c r="G74" s="42"/>
      <x:c r="H74" s="42"/>
      <x:c r="I74" s="42"/>
      <x:c r="J74" s="36"/>
      <x:c r="K74" s="36"/>
      <x:c r="L74" s="36"/>
      <x:c r="M74" s="36"/>
      <x:c r="N74" s="45"/>
      <x:c r="O74" s="48" t="str">
        <x:f>IF(B74="","",AVERAGE(IFERROR(VLOOKUP(D74,'Справочники'!$A$5:$B$14,2,FALSE),0),IFERROR(VLOOKUP(E74,'Справочники'!$D$5:$E$12,2,FALSE),0),IFERROR(VLOOKUP(F74,'Справочники'!$G$5:$H$12,2,FALSE),0),IFERROR(VLOOKUP(G74,'Справочники'!$J$5:$K$12,2,FALSE),0)))</x:f>
      </x:c>
      <x:c r="P74" s="36"/>
    </x:row>
    <x:row r="75" ht="44" customHeight="1">
      <x:c r="A75" s="40"/>
      <x:c r="B75" s="37"/>
      <x:c r="C75" s="37"/>
      <x:c r="D75" s="43"/>
      <x:c r="E75" s="43"/>
      <x:c r="F75" s="43"/>
      <x:c r="G75" s="43"/>
      <x:c r="H75" s="43"/>
      <x:c r="I75" s="43"/>
      <x:c r="J75" s="37"/>
      <x:c r="K75" s="37"/>
      <x:c r="L75" s="37"/>
      <x:c r="M75" s="37"/>
      <x:c r="N75" s="46"/>
      <x:c r="O75" s="49" t="str">
        <x:f>IF(B75="","",AVERAGE(IFERROR(VLOOKUP(D75,'Справочники'!$A$5:$B$14,2,FALSE),0),IFERROR(VLOOKUP(E75,'Справочники'!$D$5:$E$12,2,FALSE),0),IFERROR(VLOOKUP(F75,'Справочники'!$G$5:$H$12,2,FALSE),0),IFERROR(VLOOKUP(G75,'Справочники'!$J$5:$K$12,2,FALSE),0)))</x:f>
      </x:c>
      <x:c r="P75" s="37"/>
    </x:row>
  </x:sheetData>
  <x:mergeCells>
    <x:mergeCell ref="A1:P1"/>
    <x:mergeCell ref="A2:P2"/>
    <x:mergeCell ref="A3:B3"/>
    <x:mergeCell ref="C3:D3"/>
    <x:mergeCell ref="E3:F3"/>
    <x:mergeCell ref="G3:H3"/>
    <x:mergeCell ref="I3:J3"/>
    <x:mergeCell ref="K3:L3"/>
    <x:mergeCell ref="M3:N3"/>
    <x:mergeCell ref="O3:P3"/>
  </x:mergeCells>
  <x:conditionalFormatting sqref="D6:D75">
    <x:cfRule type="containsText" dxfId="48" priority="1" operator="containsText" text="Готово local/mock"/>
    <x:cfRule type="expression" dxfId="49" priority="2">
      <x:formula>$D6="Готово"</x:formula>
    </x:cfRule>
    <x:cfRule type="containsText" dxfId="50" priority="3" operator="containsText" text="Review"/>
    <x:cfRule type="containsText" dxfId="51" priority="4" operator="containsText" text="Draft"/>
    <x:cfRule type="containsText" dxfId="52" priority="5" operator="containsText" text="Отсутствует"/>
    <x:cfRule type="containsText" dxfId="53" priority="6" operator="containsText" text="В работе"/>
  </x:conditionalFormatting>
  <x:conditionalFormatting sqref="E6:E75">
    <x:cfRule type="containsText" dxfId="54" priority="7" operator="containsText" text="Accepted"/>
    <x:cfRule type="containsText" dxfId="55" priority="8" operator="containsText" text="Canonical"/>
    <x:cfRule type="containsText" dxfId="56" priority="9" operator="containsText" text="Approved"/>
    <x:cfRule type="containsText" dxfId="57" priority="10" operator="containsText" text="Review"/>
    <x:cfRule type="containsText" dxfId="58" priority="11" operator="containsText" text="Draft"/>
    <x:cfRule type="containsText" dxfId="59" priority="12" operator="containsText" text="Отсутствует"/>
  </x:conditionalFormatting>
  <x:conditionalFormatting sqref="F6:F75">
    <x:cfRule type="expression" dxfId="60" priority="13">
      <x:formula>$F6="Production"</x:formula>
    </x:cfRule>
    <x:cfRule type="expression" dxfId="61" priority="14">
      <x:formula>$F6="Local/mock"</x:formula>
    </x:cfRule>
    <x:cfRule type="expression" dxfId="62" priority="15">
      <x:formula>$F6="Pure domain"</x:formula>
    </x:cfRule>
    <x:cfRule type="expression" dxfId="63" priority="16">
      <x:formula>$F6="Отсутствует"</x:formula>
    </x:cfRule>
    <x:cfRule type="expression" dxfId="64" priority="17">
      <x:formula>$F6="Gated"</x:formula>
    </x:cfRule>
  </x:conditionalFormatting>
  <x:conditionalFormatting sqref="G6:G75">
    <x:cfRule type="containsText" dxfId="65" priority="18" operator="containsText" text="Текущие зелёные"/>
    <x:cfRule type="containsText" dxfId="66" priority="19" operator="containsText" text="Исторические зелёные"/>
    <x:cfRule type="containsText" dxfId="67" priority="20" operator="containsText" text="Device pending"/>
    <x:cfRule type="containsText" dxfId="68" priority="21" operator="containsText" text="Не запускались"/>
  </x:conditionalFormatting>
  <x:conditionalFormatting sqref="I6:I75">
    <x:cfRule type="containsText" dxfId="69" priority="22" operator="containsText" text="P0"/>
    <x:cfRule type="containsText" dxfId="70" priority="23" operator="containsText" text="P1"/>
    <x:cfRule type="containsText" dxfId="71" priority="24" operator="containsText" text="P2"/>
  </x:conditionalFormatting>
  <x:conditionalFormatting sqref="O6:O75">
    <x:cfRule type="dataBar" priority="25">
      <x:dataBar>
        <x:cfvo type="min"/>
        <x:cfvo type="max"/>
        <x:color rgb="FF2F6B5C"/>
      </x:dataBar>
      <x:extLst>
        <x:ext xmlns:x14="http://schemas.microsoft.com/office/spreadsheetml/2009/9/main" uri="{B025F937-C7B1-47D3-B67F-A62EFF666E3E}">
          <x14:id>{B97BF1A5-0EB8-1F0D-4AD9-4B766E3A12D6}</x14:id>
        </x:ext>
      </x:extLst>
    </x:cfRule>
  </x:conditionalFormatting>
  <x:dataValidations count="5">
    <x:dataValidation type="list" sqref="D6:D75">
      <x:formula1>'Справочники'!$A$5:$A$14</x:formula1>
    </x:dataValidation>
    <x:dataValidation type="list" sqref="E6:E75">
      <x:formula1>'Справочники'!$D$5:$D$12</x:formula1>
    </x:dataValidation>
    <x:dataValidation type="list" sqref="F6:F75">
      <x:formula1>'Справочники'!$G$5:$G$12</x:formula1>
    </x:dataValidation>
    <x:dataValidation type="list" sqref="G6:G75">
      <x:formula1>'Справочники'!$J$5:$J$12</x:formula1>
    </x:dataValidation>
    <x:dataValidation type="list" sqref="I6:I75">
      <x:formula1>'Справочники'!$M$5:$M$9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33475f310814c22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5" id="{B97BF1A5-0EB8-1F0D-4AD9-4B766E3A12D6}">
            <x14:dataBar gradient="1">
              <x14:cfvo type="min"/>
              <x14:cfvo type="max"/>
              <x14:fillColor rgb="FF2F6B5C"/>
            </x14:dataBar>
          </x14:cfRule>
          <xm:sqref>O6:O75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1" hidden="0" customWidth="1"/>
    <x:col min="3" max="3" width="20" hidden="0" customWidth="1"/>
    <x:col min="4" max="4" width="18" hidden="0" customWidth="1"/>
    <x:col min="5" max="5" width="20" hidden="0" customWidth="1"/>
    <x:col min="6" max="6" width="16" hidden="0" customWidth="1"/>
    <x:col min="7" max="7" width="20" hidden="0" customWidth="1"/>
    <x:col min="8" max="8" width="25" hidden="0" customWidth="1"/>
    <x:col min="9" max="9" width="11" hidden="0" customWidth="1"/>
    <x:col min="10" max="10" width="40" hidden="0" customWidth="1"/>
    <x:col min="11" max="11" width="28" hidden="0" customWidth="1"/>
    <x:col min="12" max="12" width="20" hidden="0" customWidth="1"/>
    <x:col min="13" max="13" width="48" hidden="0" customWidth="1"/>
    <x:col min="14" max="14" width="14" hidden="0" customWidth="1"/>
    <x:col min="15" max="15" width="13" hidden="0" customWidth="1"/>
    <x:col min="16" max="16" width="34" hidden="0" customWidth="1"/>
  </x:cols>
  <x:sheetData>
    <x:row r="1" ht="38" customHeight="1">
      <x:c r="A1" s="3" t="str">
        <x:v>BOOKING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2" customHeight="1">
      <x:c r="A2" s="7" t="str">
        <x:v>Product layer · Event classification, Booking contracts, backend plan and staged runtime.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3">
      <x:c r="A3" s="12" t="e">
        <x:f>HYPERLINK("#'Паук'!A1","← Вернуться к пауку")</x:f>
        <x:v>HYPERLINK is not implemented. linkLocation=#'Паук'!A1, friendlyName=← Вернуться к пауку</x:v>
      </x:c>
      <x:c r="B3" s="12"/>
      <x:c r="C3" t="str">
        <x:v>Прогресс</x:v>
      </x:c>
      <x:c r="E3" s="15" t="n">
        <x:f>IFERROR(SUM(O6:O75)/COUNTA(B6:B75),0)</x:f>
        <x:v>0.4142045454545454</x:v>
      </x:c>
      <x:c r="F3" s="15"/>
      <x:c r="G3" t="str">
        <x:v>Открытые P0/P1</x:v>
      </x:c>
      <x:c r="I3" s="18" t="n">
        <x:f>COUNTIFS(I6:I75,"P0",O6:O75,"&lt;1")+COUNTIFS(I6:I75,"P1",O6:O75,"&lt;1")</x:f>
        <x:v>21</x:v>
      </x:c>
      <x:c r="J3" s="18"/>
      <x:c r="K3" t="str">
        <x:v>Runtime отсутствует</x:v>
      </x:c>
      <x:c r="M3" s="21" t="n">
        <x:f>COUNTIF(F6:F75,"Отсутствует")</x:f>
        <x:v>15</x:v>
      </x:c>
      <x:c r="N3" s="21"/>
      <x:c r="O3" s="24" t="e">
        <x:f>HYPERLINK("#'Реестр файлов'!A1","Реестр файлов →")</x:f>
        <x:v>HYPERLINK is not implemented. linkLocation=#'Реестр файлов'!A1, friendlyName=Реестр файлов →</x:v>
      </x:c>
      <x:c r="P3" s="24"/>
    </x:row>
    <x:row r="5">
      <x:c r="A5" s="27" t="str">
        <x:v>ID</x:v>
      </x:c>
      <x:c r="B5" s="27" t="str">
        <x:v>Подсистема / deliverable</x:v>
      </x:c>
      <x:c r="C5" s="27" t="str">
        <x:v>Тип</x:v>
      </x:c>
      <x:c r="D5" s="27" t="str">
        <x:v>Артефакт</x:v>
      </x:c>
      <x:c r="E5" s="27" t="str">
        <x:v>Документация</x:v>
      </x:c>
      <x:c r="F5" s="27" t="str">
        <x:v>Runtime</x:v>
      </x:c>
      <x:c r="G5" s="27" t="str">
        <x:v>Проверки</x:v>
      </x:c>
      <x:c r="H5" s="27" t="str">
        <x:v>Gate / authority</x:v>
      </x:c>
      <x:c r="I5" s="27" t="str">
        <x:v>Приоритет</x:v>
      </x:c>
      <x:c r="J5" s="27" t="str">
        <x:v>Следующее действие</x:v>
      </x:c>
      <x:c r="K5" s="27" t="str">
        <x:v>Блокер</x:v>
      </x:c>
      <x:c r="L5" s="27" t="str">
        <x:v>Owner</x:v>
      </x:c>
      <x:c r="M5" s="27" t="str">
        <x:v>Источник / путь</x:v>
      </x:c>
      <x:c r="N5" s="27" t="str">
        <x:v>Обновлено</x:v>
      </x:c>
      <x:c r="O5" s="27" t="str">
        <x:v>Готовность</x:v>
      </x:c>
      <x:c r="P5" s="27" t="str">
        <x:v>Комментарий</x:v>
      </x:c>
    </x:row>
    <x:row r="6" ht="44" customHeight="1">
      <x:c r="A6" s="38" t="str">
        <x:v>BOOK-00</x:v>
      </x:c>
      <x:c r="B6" s="35" t="str">
        <x:v>Event Classification v2.2.3</x:v>
      </x:c>
      <x:c r="C6" s="35" t="str">
        <x:v>Canonical contract</x:v>
      </x:c>
      <x:c r="D6" s="41" t="str">
        <x:v>Готово</x:v>
      </x:c>
      <x:c r="E6" s="41" t="str">
        <x:v>Accepted</x:v>
      </x:c>
      <x:c r="F6" s="41" t="str">
        <x:v>Не требуется</x:v>
      </x:c>
      <x:c r="G6" s="41" t="str">
        <x:v>Исторические зелёные</x:v>
      </x:c>
      <x:c r="H6" s="41" t="str">
        <x:v>Event canon</x:v>
      </x:c>
      <x:c r="I6" s="41" t="str">
        <x:v>P0</x:v>
      </x:c>
      <x:c r="J6" s="35" t="str">
        <x:v>All Event/Booking slices extend it</x:v>
      </x:c>
      <x:c r="K6" s="35" t="str"/>
      <x:c r="L6" s="35" t="str">
        <x:v>Event</x:v>
      </x:c>
      <x:c r="M6" s="35" t="str">
        <x:v>docs/product/EVENT_CLASSIFICATION_SPEC.md</x:v>
      </x:c>
      <x:c r="N6" s="44" t="n">
        <x:v>46250</x:v>
      </x:c>
      <x:c r="O6" s="47" t="n">
        <x:f>IF(B6="","",AVERAGE(IFERROR(VLOOKUP(D6,'Справочники'!$A$5:$B$14,2,FALSE),0),IFERROR(VLOOKUP(E6,'Справочники'!$D$5:$E$12,2,FALSE),0),IFERROR(VLOOKUP(F6,'Справочники'!$G$5:$H$12,2,FALSE),0),IFERROR(VLOOKUP(G6,'Справочники'!$J$5:$K$12,2,FALSE),0)))</x:f>
        <x:v>0.925</x:v>
      </x:c>
      <x:c r="P6" s="35" t="str"/>
    </x:row>
    <x:row r="7" ht="44" customHeight="1">
      <x:c r="A7" s="39" t="str">
        <x:v>BOOK-01</x:v>
      </x:c>
      <x:c r="B7" s="36" t="str">
        <x:v>ECL-00 reconciliation</x:v>
      </x:c>
      <x:c r="C7" s="36" t="str">
        <x:v>Docs gate</x:v>
      </x:c>
      <x:c r="D7" s="42" t="str">
        <x:v>Готово</x:v>
      </x:c>
      <x:c r="E7" s="42" t="str">
        <x:v>Approved</x:v>
      </x:c>
      <x:c r="F7" s="42" t="str">
        <x:v>Не требуется</x:v>
      </x:c>
      <x:c r="G7" s="42" t="str">
        <x:v>Исторические зелёные</x:v>
      </x:c>
      <x:c r="H7" s="42" t="str">
        <x:v>Done</x:v>
      </x:c>
      <x:c r="I7" s="42" t="str">
        <x:v>P1</x:v>
      </x:c>
      <x:c r="J7" s="36" t="str">
        <x:v>Maintain coverage matrix</x:v>
      </x:c>
      <x:c r="K7" s="36" t="str"/>
      <x:c r="L7" s="36" t="str">
        <x:v>Event</x:v>
      </x:c>
      <x:c r="M7" s="36" t="str">
        <x:v>docs/product/EVENT_CLASSIFICATION_ECL_00_RECONCILIATION_SPEC.md</x:v>
      </x:c>
      <x:c r="N7" s="45" t="n">
        <x:v>46250</x:v>
      </x:c>
      <x:c r="O7" s="48" t="n">
        <x:f>IF(B7="","",AVERAGE(IFERROR(VLOOKUP(D7,'Справочники'!$A$5:$B$14,2,FALSE),0),IFERROR(VLOOKUP(E7,'Справочники'!$D$5:$E$12,2,FALSE),0),IFERROR(VLOOKUP(F7,'Справочники'!$G$5:$H$12,2,FALSE),0),IFERROR(VLOOKUP(G7,'Справочники'!$J$5:$K$12,2,FALSE),0)))</x:f>
        <x:v>0.8999999999999999</x:v>
      </x:c>
      <x:c r="P7" s="36" t="str"/>
    </x:row>
    <x:row r="8" ht="44" customHeight="1">
      <x:c r="A8" s="39" t="str">
        <x:v>BOOK-02</x:v>
      </x:c>
      <x:c r="B8" s="36" t="str">
        <x:v>ECL-01 classification foundation</x:v>
      </x:c>
      <x:c r="C8" s="36" t="str">
        <x:v>Mobile runtime</x:v>
      </x:c>
      <x:c r="D8" s="42" t="str">
        <x:v>Готово local/mock</x:v>
      </x:c>
      <x:c r="E8" s="42" t="str">
        <x:v>Approved</x:v>
      </x:c>
      <x:c r="F8" s="42" t="str">
        <x:v>Local/mock</x:v>
      </x:c>
      <x:c r="G8" s="42" t="str">
        <x:v>Исторические зелёные</x:v>
      </x:c>
      <x:c r="H8" s="42" t="str">
        <x:v>Done</x:v>
      </x:c>
      <x:c r="I8" s="42" t="str">
        <x:v>P0</x:v>
      </x:c>
      <x:c r="J8" s="36" t="str">
        <x:v>No backend/provider drift</x:v>
      </x:c>
      <x:c r="K8" s="36" t="str"/>
      <x:c r="L8" s="36" t="str">
        <x:v>Event</x:v>
      </x:c>
      <x:c r="M8" s="36" t="str">
        <x:v>docs/product/EVENT_CLASSIFICATION_ECL_01_SLICE_SPEC.md</x:v>
      </x:c>
      <x:c r="N8" s="45" t="n">
        <x:v>46250</x:v>
      </x:c>
      <x:c r="O8" s="48" t="n">
        <x:f>IF(B8="","",AVERAGE(IFERROR(VLOOKUP(D8,'Справочники'!$A$5:$B$14,2,FALSE),0),IFERROR(VLOOKUP(E8,'Справочники'!$D$5:$E$12,2,FALSE),0),IFERROR(VLOOKUP(F8,'Справочники'!$G$5:$H$12,2,FALSE),0),IFERROR(VLOOKUP(G8,'Справочники'!$J$5:$K$12,2,FALSE),0)))</x:f>
        <x:v>0.7375</x:v>
      </x:c>
      <x:c r="P8" s="36" t="str"/>
    </x:row>
    <x:row r="9" ht="44" customHeight="1">
      <x:c r="A9" s="39" t="str">
        <x:v>BOOK-03</x:v>
      </x:c>
      <x:c r="B9" s="36" t="str">
        <x:v>ECL-02 admission/inventory</x:v>
      </x:c>
      <x:c r="C9" s="36" t="str">
        <x:v>Mobile runtime</x:v>
      </x:c>
      <x:c r="D9" s="42" t="str">
        <x:v>Готово local/mock</x:v>
      </x:c>
      <x:c r="E9" s="42" t="str">
        <x:v>Approved</x:v>
      </x:c>
      <x:c r="F9" s="42" t="str">
        <x:v>Local/mock</x:v>
      </x:c>
      <x:c r="G9" s="42" t="str">
        <x:v>Исторические зелёные</x:v>
      </x:c>
      <x:c r="H9" s="42" t="str">
        <x:v>Done</x:v>
      </x:c>
      <x:c r="I9" s="42" t="str">
        <x:v>P0</x:v>
      </x:c>
      <x:c r="J9" s="36" t="str">
        <x:v>Keep snapshots honest/immutable</x:v>
      </x:c>
      <x:c r="K9" s="36" t="str"/>
      <x:c r="L9" s="36" t="str">
        <x:v>Event</x:v>
      </x:c>
      <x:c r="M9" s="36" t="str">
        <x:v>docs/product/EVENT_CLASSIFICATION_ECL_02_SLICE_SPEC.md</x:v>
      </x:c>
      <x:c r="N9" s="45" t="n">
        <x:v>46250</x:v>
      </x:c>
      <x:c r="O9" s="48" t="n">
        <x:f>IF(B9="","",AVERAGE(IFERROR(VLOOKUP(D9,'Справочники'!$A$5:$B$14,2,FALSE),0),IFERROR(VLOOKUP(E9,'Справочники'!$D$5:$E$12,2,FALSE),0),IFERROR(VLOOKUP(F9,'Справочники'!$G$5:$H$12,2,FALSE),0),IFERROR(VLOOKUP(G9,'Справочники'!$J$5:$K$12,2,FALSE),0)))</x:f>
        <x:v>0.7375</x:v>
      </x:c>
      <x:c r="P9" s="36" t="str"/>
    </x:row>
    <x:row r="10" ht="44" customHeight="1">
      <x:c r="A10" s="39" t="str">
        <x:v>BOOK-04</x:v>
      </x:c>
      <x:c r="B10" s="36" t="str">
        <x:v>ECL-03A architecture gate</x:v>
      </x:c>
      <x:c r="C10" s="36" t="str">
        <x:v>Docs/ADR</x:v>
      </x:c>
      <x:c r="D10" s="42" t="str">
        <x:v>Готово</x:v>
      </x:c>
      <x:c r="E10" s="42" t="str">
        <x:v>Approved</x:v>
      </x:c>
      <x:c r="F10" s="42" t="str">
        <x:v>Не требуется</x:v>
      </x:c>
      <x:c r="G10" s="42" t="str">
        <x:v>Исторические зелёные</x:v>
      </x:c>
      <x:c r="H10" s="42" t="str">
        <x:v>ADR 0019</x:v>
      </x:c>
      <x:c r="I10" s="42" t="str">
        <x:v>P0</x:v>
      </x:c>
      <x:c r="J10" s="36" t="str">
        <x:v>Preserve D01–D10</x:v>
      </x:c>
      <x:c r="K10" s="36" t="str"/>
      <x:c r="L10" s="36" t="str">
        <x:v>Booking</x:v>
      </x:c>
      <x:c r="M10" s="36" t="str">
        <x:v>docs/product/EVENT_CLASSIFICATION_ECL_03_SLICE_SPEC.md</x:v>
      </x:c>
      <x:c r="N10" s="45" t="n">
        <x:v>46250</x:v>
      </x:c>
      <x:c r="O10" s="48" t="n">
        <x:f>IF(B10="","",AVERAGE(IFERROR(VLOOKUP(D10,'Справочники'!$A$5:$B$14,2,FALSE),0),IFERROR(VLOOKUP(E10,'Справочники'!$D$5:$E$12,2,FALSE),0),IFERROR(VLOOKUP(F10,'Справочники'!$G$5:$H$12,2,FALSE),0),IFERROR(VLOOKUP(G10,'Справочники'!$J$5:$K$12,2,FALSE),0)))</x:f>
        <x:v>0.8999999999999999</x:v>
      </x:c>
      <x:c r="P10" s="36" t="str"/>
    </x:row>
    <x:row r="11" ht="44" customHeight="1">
      <x:c r="A11" s="39" t="str">
        <x:v>BOOK-05</x:v>
      </x:c>
      <x:c r="B11" s="36" t="str">
        <x:v>ECL-03B contracts + mobile domain</x:v>
      </x:c>
      <x:c r="C11" s="36" t="str">
        <x:v>Contracts/domain</x:v>
      </x:c>
      <x:c r="D11" s="42" t="str">
        <x:v>Готово local/mock</x:v>
      </x:c>
      <x:c r="E11" s="42" t="str">
        <x:v>Approved</x:v>
      </x:c>
      <x:c r="F11" s="42" t="str">
        <x:v>Pure domain</x:v>
      </x:c>
      <x:c r="G11" s="42" t="str">
        <x:v>Исторические зелёные</x:v>
      </x:c>
      <x:c r="H11" s="42" t="str">
        <x:v>Done</x:v>
      </x:c>
      <x:c r="I11" s="42" t="str">
        <x:v>P0</x:v>
      </x:c>
      <x:c r="J11" s="36" t="str">
        <x:v>No fake confirmed Booking</x:v>
      </x:c>
      <x:c r="K11" s="36" t="str">
        <x:v>Backend absent</x:v>
      </x:c>
      <x:c r="L11" s="36" t="str">
        <x:v>Booking/API</x:v>
      </x:c>
      <x:c r="M11" s="36" t="str">
        <x:v>docs/product/EVENT_CLASSIFICATION_ECL_03B_CONTRACT_DOMAIN_SLICE_SPEC.md</x:v>
      </x:c>
      <x:c r="N11" s="45" t="n">
        <x:v>46250</x:v>
      </x:c>
      <x:c r="O11" s="48" t="n">
        <x:f>IF(B11="","",AVERAGE(IFERROR(VLOOKUP(D11,'Справочники'!$A$5:$B$14,2,FALSE),0),IFERROR(VLOOKUP(E11,'Справочники'!$D$5:$E$12,2,FALSE),0),IFERROR(VLOOKUP(F11,'Справочники'!$G$5:$H$12,2,FALSE),0),IFERROR(VLOOKUP(G11,'Справочники'!$J$5:$K$12,2,FALSE),0)))</x:f>
        <x:v>0.7</x:v>
      </x:c>
      <x:c r="P11" s="36" t="str"/>
    </x:row>
    <x:row r="12" ht="44" customHeight="1">
      <x:c r="A12" s="39" t="str">
        <x:v>BOOK-06</x:v>
      </x:c>
      <x:c r="B12" s="36" t="str">
        <x:v>ECL-03C transaction plan</x:v>
      </x:c>
      <x:c r="C12" s="36" t="str">
        <x:v>Backend plan</x:v>
      </x:c>
      <x:c r="D12" s="42" t="str">
        <x:v>Review</x:v>
      </x:c>
      <x:c r="E12" s="42" t="str">
        <x:v>Review</x:v>
      </x:c>
      <x:c r="F12" s="42" t="str">
        <x:v>Отсутствует</x:v>
      </x:c>
      <x:c r="G12" s="42" t="str">
        <x:v>Не запускались</x:v>
      </x:c>
      <x:c r="H12" s="42" t="str">
        <x:v>Explicit authorization</x:v>
      </x:c>
      <x:c r="I12" s="42" t="str">
        <x:v>P0</x:v>
      </x:c>
      <x:c r="J12" s="36" t="str">
        <x:v>Accept exact plan after prerequisites</x:v>
      </x:c>
      <x:c r="K12" s="36" t="str">
        <x:v>Identity/Platform/Privacy</x:v>
      </x:c>
      <x:c r="L12" s="36" t="str">
        <x:v>Booking</x:v>
      </x:c>
      <x:c r="M12" s="36" t="str">
        <x:v>docs/product/EVENT_CLASSIFICATION_ECL_03C_TRANSACTION_CORE_SLICE_SPEC.md</x:v>
      </x:c>
      <x:c r="N12" s="45" t="n">
        <x:v>46250</x:v>
      </x:c>
      <x:c r="O12" s="48" t="n">
        <x:f>IF(B12="","",AVERAGE(IFERROR(VLOOKUP(D12,'Справочники'!$A$5:$B$14,2,FALSE),0),IFERROR(VLOOKUP(E12,'Справочники'!$D$5:$E$12,2,FALSE),0),IFERROR(VLOOKUP(F12,'Справочники'!$G$5:$H$12,2,FALSE),0),IFERROR(VLOOKUP(G12,'Справочники'!$J$5:$K$12,2,FALSE),0)))</x:f>
        <x:v>0.3125</x:v>
      </x:c>
      <x:c r="P12" s="36" t="str"/>
    </x:row>
    <x:row r="13" ht="44" customHeight="1">
      <x:c r="A13" s="39" t="str">
        <x:v>BOOK-07</x:v>
      </x:c>
      <x:c r="B13" s="36" t="str">
        <x:v>BCK-09 full backend contract</x:v>
      </x:c>
      <x:c r="C13" s="36" t="str">
        <x:v>Backend spec</x:v>
      </x:c>
      <x:c r="D13" s="42" t="str">
        <x:v>Review</x:v>
      </x:c>
      <x:c r="E13" s="42" t="str">
        <x:v>Review</x:v>
      </x:c>
      <x:c r="F13" s="42" t="str">
        <x:v>Отсутствует</x:v>
      </x:c>
      <x:c r="G13" s="42" t="str">
        <x:v>Не запускались</x:v>
      </x:c>
      <x:c r="H13" s="42" t="str">
        <x:v>BCK-03/04/05/06/07</x:v>
      </x:c>
      <x:c r="I13" s="42" t="str">
        <x:v>P0</x:v>
      </x:c>
      <x:c r="J13" s="36" t="str">
        <x:v>Resolve review and hard dependencies</x:v>
      </x:c>
      <x:c r="K13" s="36" t="str">
        <x:v>Backend specs missing</x:v>
      </x:c>
      <x:c r="L13" s="36" t="str">
        <x:v>Booking Backend</x:v>
      </x:c>
      <x:c r="M13" s="36" t="str">
        <x:v>docs/product/EVENT_BOOKING_BACKEND_FIREBASE_FULL_SPEC.md</x:v>
      </x:c>
      <x:c r="N13" s="45" t="n">
        <x:v>46250</x:v>
      </x:c>
      <x:c r="O13" s="48" t="n">
        <x:f>IF(B13="","",AVERAGE(IFERROR(VLOOKUP(D13,'Справочники'!$A$5:$B$14,2,FALSE),0),IFERROR(VLOOKUP(E13,'Справочники'!$D$5:$E$12,2,FALSE),0),IFERROR(VLOOKUP(F13,'Справочники'!$G$5:$H$12,2,FALSE),0),IFERROR(VLOOKUP(G13,'Справочники'!$J$5:$K$12,2,FALSE),0)))</x:f>
        <x:v>0.3125</x:v>
      </x:c>
      <x:c r="P13" s="36" t="str"/>
    </x:row>
    <x:row r="14" ht="44" customHeight="1">
      <x:c r="A14" s="39" t="str">
        <x:v>BOOK-08</x:v>
      </x:c>
      <x:c r="B14" s="36" t="str">
        <x:v>External booking redirect</x:v>
      </x:c>
      <x:c r="C14" s="36" t="str">
        <x:v>MVP runtime</x:v>
      </x:c>
      <x:c r="D14" s="42" t="str">
        <x:v>Готово local/mock</x:v>
      </x:c>
      <x:c r="E14" s="42" t="str">
        <x:v>Approved</x:v>
      </x:c>
      <x:c r="F14" s="42" t="str">
        <x:v>Local/mock</x:v>
      </x:c>
      <x:c r="G14" s="42" t="str">
        <x:v>Частично</x:v>
      </x:c>
      <x:c r="H14" s="42" t="str">
        <x:v>Current MVP</x:v>
      </x:c>
      <x:c r="I14" s="42" t="str">
        <x:v>P1</x:v>
      </x:c>
      <x:c r="J14" s="36" t="str">
        <x:v>URL policy + honest handoff UX</x:v>
      </x:c>
      <x:c r="K14" s="36" t="str">
        <x:v>External provider</x:v>
      </x:c>
      <x:c r="L14" s="36" t="str">
        <x:v>Event</x:v>
      </x:c>
      <x:c r="M14" s="36" t="str">
        <x:v>docs/product/VISION.md</x:v>
      </x:c>
      <x:c r="N14" s="45" t="n">
        <x:v>46250</x:v>
      </x:c>
      <x:c r="O14" s="48" t="n">
        <x:f>IF(B14="","",AVERAGE(IFERROR(VLOOKUP(D14,'Справочники'!$A$5:$B$14,2,FALSE),0),IFERROR(VLOOKUP(E14,'Справочники'!$D$5:$E$12,2,FALSE),0),IFERROR(VLOOKUP(F14,'Справочники'!$G$5:$H$12,2,FALSE),0),IFERROR(VLOOKUP(G14,'Справочники'!$J$5:$K$12,2,FALSE),0)))</x:f>
        <x:v>0.6625</x:v>
      </x:c>
      <x:c r="P14" s="36" t="str"/>
    </x:row>
    <x:row r="15" ht="44" customHeight="1">
      <x:c r="A15" s="39" t="str">
        <x:v>BOOK-09</x:v>
      </x:c>
      <x:c r="B15" s="36" t="str">
        <x:v>Authoritative transaction core</x:v>
      </x:c>
      <x:c r="C15" s="36" t="str">
        <x:v>Backend runtime</x:v>
      </x:c>
      <x:c r="D15" s="42" t="str">
        <x:v>Отсутствует</x:v>
      </x:c>
      <x:c r="E15" s="42" t="str">
        <x:v>Review</x:v>
      </x:c>
      <x:c r="F15" s="42" t="str">
        <x:v>Отсутствует</x:v>
      </x:c>
      <x:c r="G15" s="42" t="str">
        <x:v>Не запускались</x:v>
      </x:c>
      <x:c r="H15" s="42" t="str">
        <x:v>R5/G4</x:v>
      </x:c>
      <x:c r="I15" s="42" t="str">
        <x:v>P0</x:v>
      </x:c>
      <x:c r="J15" s="36" t="str">
        <x:v>Cloud Functions/Admin SDK atomic transaction</x:v>
      </x:c>
      <x:c r="K15" s="36" t="str">
        <x:v>apps/backend absent</x:v>
      </x:c>
      <x:c r="L15" s="36" t="str">
        <x:v>Booking Backend</x:v>
      </x:c>
      <x:c r="M15" s="36" t="str">
        <x:v>apps/backend/src/booking</x:v>
      </x:c>
      <x:c r="N15" s="45"/>
      <x:c r="O15" s="48" t="n">
        <x:f>IF(B15="","",AVERAGE(IFERROR(VLOOKUP(D15,'Справочники'!$A$5:$B$14,2,FALSE),0),IFERROR(VLOOKUP(E15,'Справочники'!$D$5:$E$12,2,FALSE),0),IFERROR(VLOOKUP(F15,'Справочники'!$G$5:$H$12,2,FALSE),0),IFERROR(VLOOKUP(G15,'Справочники'!$J$5:$K$12,2,FALSE),0)))</x:f>
        <x:v>0.1375</x:v>
      </x:c>
      <x:c r="P15" s="36" t="str"/>
    </x:row>
    <x:row r="16" ht="44" customHeight="1">
      <x:c r="A16" s="39" t="str">
        <x:v>BOOK-10</x:v>
      </x:c>
      <x:c r="B16" s="36" t="str">
        <x:v>Ledger / usage / audit / outbox</x:v>
      </x:c>
      <x:c r="C16" s="36" t="str">
        <x:v>Backend runtime</x:v>
      </x:c>
      <x:c r="D16" s="42" t="str">
        <x:v>Отсутствует</x:v>
      </x:c>
      <x:c r="E16" s="42" t="str">
        <x:v>Approved</x:v>
      </x:c>
      <x:c r="F16" s="42" t="str">
        <x:v>Отсутствует</x:v>
      </x:c>
      <x:c r="G16" s="42" t="str">
        <x:v>Не запускались</x:v>
      </x:c>
      <x:c r="H16" s="42" t="str">
        <x:v>ECL-03C</x:v>
      </x:c>
      <x:c r="I16" s="42" t="str">
        <x:v>P0</x:v>
      </x:c>
      <x:c r="J16" s="36" t="str">
        <x:v>Atomic records with idempotency</x:v>
      </x:c>
      <x:c r="K16" s="36" t="str">
        <x:v>Backend absent</x:v>
      </x:c>
      <x:c r="L16" s="36" t="str">
        <x:v>Booking Backend</x:v>
      </x:c>
      <x:c r="M16" s="36" t="str">
        <x:v>docs/product/EVENT_CLASSIFICATION_ECL_03C_TRANSACTION_CORE_SLICE_SPEC.md</x:v>
      </x:c>
      <x:c r="N16" s="45"/>
      <x:c r="O16" s="48" t="n">
        <x:f>IF(B16="","",AVERAGE(IFERROR(VLOOKUP(D16,'Справочники'!$A$5:$B$14,2,FALSE),0),IFERROR(VLOOKUP(E16,'Справочники'!$D$5:$E$12,2,FALSE),0),IFERROR(VLOOKUP(F16,'Справочники'!$G$5:$H$12,2,FALSE),0),IFERROR(VLOOKUP(G16,'Справочники'!$J$5:$K$12,2,FALSE),0)))</x:f>
        <x:v>0.225</x:v>
      </x:c>
      <x:c r="P16" s="36" t="str"/>
    </x:row>
    <x:row r="17" ht="44" customHeight="1">
      <x:c r="A17" s="39" t="str">
        <x:v>BOOK-11</x:v>
      </x:c>
      <x:c r="B17" s="36" t="str">
        <x:v>Idempotency</x:v>
      </x:c>
      <x:c r="C17" s="36" t="str">
        <x:v>Backend invariant</x:v>
      </x:c>
      <x:c r="D17" s="42" t="str">
        <x:v>Отсутствует</x:v>
      </x:c>
      <x:c r="E17" s="42" t="str">
        <x:v>Approved</x:v>
      </x:c>
      <x:c r="F17" s="42" t="str">
        <x:v>Отсутствует</x:v>
      </x:c>
      <x:c r="G17" s="42" t="str">
        <x:v>Не запускались</x:v>
      </x:c>
      <x:c r="H17" s="42" t="str">
        <x:v>G4 contention</x:v>
      </x:c>
      <x:c r="I17" s="42" t="str">
        <x:v>P0</x:v>
      </x:c>
      <x:c r="J17" s="36" t="str">
        <x:v>requestId equality + hash replay/conflict</x:v>
      </x:c>
      <x:c r="K17" s="36" t="str">
        <x:v>Fixture conflict</x:v>
      </x:c>
      <x:c r="L17" s="36" t="str">
        <x:v>Booking/API</x:v>
      </x:c>
      <x:c r="M17" s="36" t="str">
        <x:v>docs/product/BACKEND_SECURITY_PRIVACY_SPEC.md</x:v>
      </x:c>
      <x:c r="N17" s="45"/>
      <x:c r="O17" s="48" t="n">
        <x:f>IF(B17="","",AVERAGE(IFERROR(VLOOKUP(D17,'Справочники'!$A$5:$B$14,2,FALSE),0),IFERROR(VLOOKUP(E17,'Справочники'!$D$5:$E$12,2,FALSE),0),IFERROR(VLOOKUP(F17,'Справочники'!$G$5:$H$12,2,FALSE),0),IFERROR(VLOOKUP(G17,'Справочники'!$J$5:$K$12,2,FALSE),0)))</x:f>
        <x:v>0.225</x:v>
      </x:c>
      <x:c r="P17" s="36" t="str"/>
    </x:row>
    <x:row r="18" ht="44" customHeight="1">
      <x:c r="A18" s="39" t="str">
        <x:v>BOOK-12</x:v>
      </x:c>
      <x:c r="B18" s="36" t="str">
        <x:v>Waitlist / holds / reconfirmation</x:v>
      </x:c>
      <x:c r="C18" s="36" t="str">
        <x:v>Booking extensions</x:v>
      </x:c>
      <x:c r="D18" s="42" t="str">
        <x:v>План</x:v>
      </x:c>
      <x:c r="E18" s="42" t="str">
        <x:v>Approved</x:v>
      </x:c>
      <x:c r="F18" s="42" t="str">
        <x:v>Отсутствует</x:v>
      </x:c>
      <x:c r="G18" s="42" t="str">
        <x:v>Не запускались</x:v>
      </x:c>
      <x:c r="H18" s="42" t="str">
        <x:v>After ECL-03C</x:v>
      </x:c>
      <x:c r="I18" s="42" t="str">
        <x:v>P1</x:v>
      </x:c>
      <x:c r="J18" s="36" t="str">
        <x:v>Separate staged slices</x:v>
      </x:c>
      <x:c r="K18" s="36" t="str">
        <x:v>Transaction core first</x:v>
      </x:c>
      <x:c r="L18" s="36" t="str">
        <x:v>Booking</x:v>
      </x:c>
      <x:c r="M18" s="36" t="str">
        <x:v>docs/product/EVENT_CLASSIFICATION_ECL_03_SLICE_SPEC.md</x:v>
      </x:c>
      <x:c r="N18" s="45"/>
      <x:c r="O18" s="48" t="n">
        <x:f>IF(B18="","",AVERAGE(IFERROR(VLOOKUP(D18,'Справочники'!$A$5:$B$14,2,FALSE),0),IFERROR(VLOOKUP(E18,'Справочники'!$D$5:$E$12,2,FALSE),0),IFERROR(VLOOKUP(F18,'Справочники'!$G$5:$H$12,2,FALSE),0),IFERROR(VLOOKUP(G18,'Справочники'!$J$5:$K$12,2,FALSE),0)))</x:f>
        <x:v>0.25</x:v>
      </x:c>
      <x:c r="P18" s="36" t="str"/>
    </x:row>
    <x:row r="19" ht="44" customHeight="1">
      <x:c r="A19" s="39" t="str">
        <x:v>BOOK-13</x:v>
      </x:c>
      <x:c r="B19" s="36" t="str">
        <x:v>Booking emulator</x:v>
      </x:c>
      <x:c r="C19" s="36" t="str">
        <x:v>Backend test runtime</x:v>
      </x:c>
      <x:c r="D19" s="42" t="str">
        <x:v>План</x:v>
      </x:c>
      <x:c r="E19" s="42" t="str">
        <x:v>Approved</x:v>
      </x:c>
      <x:c r="F19" s="42" t="str">
        <x:v>Отсутствует</x:v>
      </x:c>
      <x:c r="G19" s="42" t="str">
        <x:v>Не запускались</x:v>
      </x:c>
      <x:c r="H19" s="42" t="str">
        <x:v>R5/G4</x:v>
      </x:c>
      <x:c r="I19" s="42" t="str">
        <x:v>P0</x:v>
      </x:c>
      <x:c r="J19" s="36" t="str">
        <x:v>Oversell/idempotency/Rules tests flags off</x:v>
      </x:c>
      <x:c r="K19" s="36" t="str">
        <x:v>Backend authorization</x:v>
      </x:c>
      <x:c r="L19" s="36" t="str">
        <x:v>Booking QA</x:v>
      </x:c>
      <x:c r="M19" s="36" t="str">
        <x:v>docs/product/RECHARGE_BACKEND_DELIVERY_MAP.md</x:v>
      </x:c>
      <x:c r="N19" s="45"/>
      <x:c r="O19" s="48" t="n">
        <x:f>IF(B19="","",AVERAGE(IFERROR(VLOOKUP(D19,'Справочники'!$A$5:$B$14,2,FALSE),0),IFERROR(VLOOKUP(E19,'Справочники'!$D$5:$E$12,2,FALSE),0),IFERROR(VLOOKUP(F19,'Справочники'!$G$5:$H$12,2,FALSE),0),IFERROR(VLOOKUP(G19,'Справочники'!$J$5:$K$12,2,FALSE),0)))</x:f>
        <x:v>0.25</x:v>
      </x:c>
      <x:c r="P19" s="36" t="str"/>
    </x:row>
    <x:row r="20" ht="44" customHeight="1">
      <x:c r="A20" s="39" t="str">
        <x:v>BOOK-14</x:v>
      </x:c>
      <x:c r="B20" s="36" t="str">
        <x:v>Persistent staging</x:v>
      </x:c>
      <x:c r="C20" s="36" t="str">
        <x:v>Backend runtime</x:v>
      </x:c>
      <x:c r="D20" s="42" t="str">
        <x:v>План</x:v>
      </x:c>
      <x:c r="E20" s="42" t="str">
        <x:v>Approved</x:v>
      </x:c>
      <x:c r="F20" s="42" t="str">
        <x:v>Отсутствует</x:v>
      </x:c>
      <x:c r="G20" s="42" t="str">
        <x:v>Не запускались</x:v>
      </x:c>
      <x:c r="H20" s="42" t="str">
        <x:v>R6/G5</x:v>
      </x:c>
      <x:c r="I20" s="42" t="str">
        <x:v>P1</x:v>
      </x:c>
      <x:c r="J20" s="36" t="str">
        <x:v>Staff-only cohort + repair/reconciliation</x:v>
      </x:c>
      <x:c r="K20" s="36" t="str">
        <x:v>R5/BCK-19</x:v>
      </x:c>
      <x:c r="L20" s="36" t="str">
        <x:v>Booking Ops</x:v>
      </x:c>
      <x:c r="M20" s="36" t="str">
        <x:v>docs/product/RECHARGE_BACKEND_DELIVERY_MAP.md</x:v>
      </x:c>
      <x:c r="N20" s="45"/>
      <x:c r="O20" s="48" t="n">
        <x:f>IF(B20="","",AVERAGE(IFERROR(VLOOKUP(D20,'Справочники'!$A$5:$B$14,2,FALSE),0),IFERROR(VLOOKUP(E20,'Справочники'!$D$5:$E$12,2,FALSE),0),IFERROR(VLOOKUP(F20,'Справочники'!$G$5:$H$12,2,FALSE),0),IFERROR(VLOOKUP(G20,'Справочники'!$J$5:$K$12,2,FALSE),0)))</x:f>
        <x:v>0.25</x:v>
      </x:c>
      <x:c r="P20" s="36" t="str"/>
    </x:row>
    <x:row r="21" ht="44" customHeight="1">
      <x:c r="A21" s="39" t="str">
        <x:v>BOOK-15</x:v>
      </x:c>
      <x:c r="B21" s="36" t="str">
        <x:v>Payments</x:v>
      </x:c>
      <x:c r="C21" s="36" t="str">
        <x:v>Separate product/backend</x:v>
      </x:c>
      <x:c r="D21" s="42" t="str">
        <x:v>План</x:v>
      </x:c>
      <x:c r="E21" s="42" t="str">
        <x:v>Отсутствует</x:v>
      </x:c>
      <x:c r="F21" s="42" t="str">
        <x:v>Отсутствует</x:v>
      </x:c>
      <x:c r="G21" s="42" t="str">
        <x:v>Не запускались</x:v>
      </x:c>
      <x:c r="H21" s="42" t="str">
        <x:v>R10 + new ADR</x:v>
      </x:c>
      <x:c r="I21" s="42" t="str">
        <x:v>P3</x:v>
      </x:c>
      <x:c r="J21" s="36" t="str">
        <x:v>Do not couple to free Booking</x:v>
      </x:c>
      <x:c r="K21" s="36" t="str">
        <x:v>Legal/provider</x:v>
      </x:c>
      <x:c r="L21" s="36" t="str">
        <x:v>Payments</x:v>
      </x:c>
      <x:c r="M21" s="36" t="str">
        <x:v>docs/product/RECHARGE_BACKEND_DELIVERY_MAP.md</x:v>
      </x:c>
      <x:c r="N21" s="45"/>
      <x:c r="O21" s="48" t="n">
        <x:f>IF(B21="","",AVERAGE(IFERROR(VLOOKUP(D21,'Справочники'!$A$5:$B$14,2,FALSE),0),IFERROR(VLOOKUP(E21,'Справочники'!$D$5:$E$12,2,FALSE),0),IFERROR(VLOOKUP(F21,'Справочники'!$G$5:$H$12,2,FALSE),0),IFERROR(VLOOKUP(G21,'Справочники'!$J$5:$K$12,2,FALSE),0)))</x:f>
        <x:v>0.025</x:v>
      </x:c>
      <x:c r="P21" s="36" t="str"/>
    </x:row>
    <x:row r="22" ht="44" customHeight="1">
      <x:c r="A22" s="39" t="str">
        <x:v>ECL-03C-P</x:v>
      </x:c>
      <x:c r="B22" s="36" t="str">
        <x:v>Authoritative transaction core exact plan</x:v>
      </x:c>
      <x:c r="C22" s="36" t="str">
        <x:v>Backend plan</x:v>
      </x:c>
      <x:c r="D22" s="42" t="str">
        <x:v>Review</x:v>
      </x:c>
      <x:c r="E22" s="42" t="str">
        <x:v>Review</x:v>
      </x:c>
      <x:c r="F22" s="42" t="str">
        <x:v>Отсутствует</x:v>
      </x:c>
      <x:c r="G22" s="42" t="str">
        <x:v>Не запускались</x:v>
      </x:c>
      <x:c r="H22" s="42" t="str">
        <x:v>Explicit acceptance + backend authorization</x:v>
      </x:c>
      <x:c r="I22" s="42" t="str">
        <x:v>P0</x:v>
      </x:c>
      <x:c r="J22" s="36" t="str">
        <x:v>Accept plan only after Identity/Platform/Privacy prerequisites</x:v>
      </x:c>
      <x:c r="K22" s="36" t="str">
        <x:v>apps/backend absent</x:v>
      </x:c>
      <x:c r="L22" s="36" t="str">
        <x:v>Booking</x:v>
      </x:c>
      <x:c r="M22" s="36" t="str">
        <x:v>docs/product/EVENT_CLASSIFICATION_ECL_03C_TRANSACTION_CORE_SLICE_SPEC.md</x:v>
      </x:c>
      <x:c r="N22" s="45" t="n">
        <x:v>46250.5</x:v>
      </x:c>
      <x:c r="O22" s="48" t="n">
        <x:f>IF(B22="","",AVERAGE(IFERROR(VLOOKUP(D22,'Справочники'!$A$5:$B$14,2,FALSE),0),IFERROR(VLOOKUP(E22,'Справочники'!$D$5:$E$12,2,FALSE),0),IFERROR(VLOOKUP(F22,'Справочники'!$G$5:$H$12,2,FALSE),0),IFERROR(VLOOKUP(G22,'Справочники'!$J$5:$K$12,2,FALSE),0)))</x:f>
        <x:v>0.3125</x:v>
      </x:c>
      <x:c r="P22" s="36" t="str"/>
    </x:row>
    <x:row r="23" ht="44" customHeight="1">
      <x:c r="A23" s="39" t="str">
        <x:v>ECL-03D</x:v>
      </x:c>
      <x:c r="B23" s="36" t="str">
        <x:v>Approval / applications / waitlist / holds</x:v>
      </x:c>
      <x:c r="C23" s="36" t="str">
        <x:v>Booking stage</x:v>
      </x:c>
      <x:c r="D23" s="42" t="str">
        <x:v>План</x:v>
      </x:c>
      <x:c r="E23" s="42" t="str">
        <x:v>Approved</x:v>
      </x:c>
      <x:c r="F23" s="42" t="str">
        <x:v>Отсутствует</x:v>
      </x:c>
      <x:c r="G23" s="42" t="str">
        <x:v>Не запускались</x:v>
      </x:c>
      <x:c r="H23" s="42" t="str">
        <x:v>After ECL-03C</x:v>
      </x:c>
      <x:c r="I23" s="42" t="str">
        <x:v>P1</x:v>
      </x:c>
      <x:c r="J23" s="36" t="str">
        <x:v>Separate authorized backend slice</x:v>
      </x:c>
      <x:c r="K23" s="36" t="str">
        <x:v>Transaction core first</x:v>
      </x:c>
      <x:c r="L23" s="36" t="str">
        <x:v>Booking</x:v>
      </x:c>
      <x:c r="M23" s="36" t="str">
        <x:v>docs/product/EVENT_CLASSIFICATION_ECL_03_SLICE_SPEC.md</x:v>
      </x:c>
      <x:c r="N23" s="45" t="n">
        <x:v>46250.5</x:v>
      </x:c>
      <x:c r="O23" s="48" t="n">
        <x:f>IF(B23="","",AVERAGE(IFERROR(VLOOKUP(D23,'Справочники'!$A$5:$B$14,2,FALSE),0),IFERROR(VLOOKUP(E23,'Справочники'!$D$5:$E$12,2,FALSE),0),IFERROR(VLOOKUP(F23,'Справочники'!$G$5:$H$12,2,FALSE),0),IFERROR(VLOOKUP(G23,'Справочники'!$J$5:$K$12,2,FALSE),0)))</x:f>
        <x:v>0.25</x:v>
      </x:c>
      <x:c r="P23" s="36" t="str"/>
    </x:row>
    <x:row r="24" ht="44" customHeight="1">
      <x:c r="A24" s="39" t="str">
        <x:v>ECL-03E</x:v>
      </x:c>
      <x:c r="B24" s="36" t="str">
        <x:v>Reconfirmation / notifications</x:v>
      </x:c>
      <x:c r="C24" s="36" t="str">
        <x:v>Booking stage</x:v>
      </x:c>
      <x:c r="D24" s="42" t="str">
        <x:v>План</x:v>
      </x:c>
      <x:c r="E24" s="42" t="str">
        <x:v>Approved</x:v>
      </x:c>
      <x:c r="F24" s="42" t="str">
        <x:v>Отсутствует</x:v>
      </x:c>
      <x:c r="G24" s="42" t="str">
        <x:v>Не запускались</x:v>
      </x:c>
      <x:c r="H24" s="42" t="str">
        <x:v>After ECL-03D + BCK-13</x:v>
      </x:c>
      <x:c r="I24" s="42" t="str">
        <x:v>P1</x:v>
      </x:c>
      <x:c r="J24" s="36" t="str">
        <x:v>Authoritative inbox/outbox effects</x:v>
      </x:c>
      <x:c r="K24" s="36" t="str">
        <x:v>Notifications backend absent</x:v>
      </x:c>
      <x:c r="L24" s="36" t="str">
        <x:v>Booking / Notifications</x:v>
      </x:c>
      <x:c r="M24" s="36" t="str">
        <x:v>docs/product/EVENT_CLASSIFICATION_ECL_03_SLICE_SPEC.md</x:v>
      </x:c>
      <x:c r="N24" s="45" t="n">
        <x:v>46250.5</x:v>
      </x:c>
      <x:c r="O24" s="48" t="n">
        <x:f>IF(B24="","",AVERAGE(IFERROR(VLOOKUP(D24,'Справочники'!$A$5:$B$14,2,FALSE),0),IFERROR(VLOOKUP(E24,'Справочники'!$D$5:$E$12,2,FALSE),0),IFERROR(VLOOKUP(F24,'Справочники'!$G$5:$H$12,2,FALSE),0),IFERROR(VLOOKUP(G24,'Справочники'!$J$5:$K$12,2,FALSE),0)))</x:f>
        <x:v>0.25</x:v>
      </x:c>
      <x:c r="P24" s="36" t="str"/>
    </x:row>
    <x:row r="25" ht="44" customHeight="1">
      <x:c r="A25" s="39" t="str">
        <x:v>ECL-03F</x:v>
      </x:c>
      <x:c r="B25" s="36" t="str">
        <x:v>Concurrency / auxiliary policy</x:v>
      </x:c>
      <x:c r="C25" s="36" t="str">
        <x:v>Booking stage</x:v>
      </x:c>
      <x:c r="D25" s="42" t="str">
        <x:v>План</x:v>
      </x:c>
      <x:c r="E25" s="42" t="str">
        <x:v>Approved</x:v>
      </x:c>
      <x:c r="F25" s="42" t="str">
        <x:v>Отсутствует</x:v>
      </x:c>
      <x:c r="G25" s="42" t="str">
        <x:v>Не запускались</x:v>
      </x:c>
      <x:c r="H25" s="42" t="str">
        <x:v>After core evidence</x:v>
      </x:c>
      <x:c r="I25" s="42" t="str">
        <x:v>P1</x:v>
      </x:c>
      <x:c r="J25" s="36" t="str">
        <x:v>Capacity/concurrency/auxiliary tracks</x:v>
      </x:c>
      <x:c r="K25" s="36" t="str">
        <x:v>Emulator/load evidence</x:v>
      </x:c>
      <x:c r="L25" s="36" t="str">
        <x:v>Booking</x:v>
      </x:c>
      <x:c r="M25" s="36" t="str">
        <x:v>docs/product/EVENT_CLASSIFICATION_ECL_03_SLICE_SPEC.md</x:v>
      </x:c>
      <x:c r="N25" s="45" t="n">
        <x:v>46250.5</x:v>
      </x:c>
      <x:c r="O25" s="48" t="n">
        <x:f>IF(B25="","",AVERAGE(IFERROR(VLOOKUP(D25,'Справочники'!$A$5:$B$14,2,FALSE),0),IFERROR(VLOOKUP(E25,'Справочники'!$D$5:$E$12,2,FALSE),0),IFERROR(VLOOKUP(F25,'Справочники'!$G$5:$H$12,2,FALSE),0),IFERROR(VLOOKUP(G25,'Справочники'!$J$5:$K$12,2,FALSE),0)))</x:f>
        <x:v>0.25</x:v>
      </x:c>
      <x:c r="P25" s="36" t="str"/>
    </x:row>
    <x:row r="26" ht="44" customHeight="1">
      <x:c r="A26" s="39" t="str">
        <x:v>ECL-03G</x:v>
      </x:c>
      <x:c r="B26" s="36" t="str">
        <x:v>Mobile integration / staged rollout</x:v>
      </x:c>
      <x:c r="C26" s="36" t="str">
        <x:v>Booking stage</x:v>
      </x:c>
      <x:c r="D26" s="42" t="str">
        <x:v>План</x:v>
      </x:c>
      <x:c r="E26" s="42" t="str">
        <x:v>Approved</x:v>
      </x:c>
      <x:c r="F26" s="42" t="str">
        <x:v>Отсутствует</x:v>
      </x:c>
      <x:c r="G26" s="42" t="str">
        <x:v>Не запускались</x:v>
      </x:c>
      <x:c r="H26" s="42" t="str">
        <x:v>R6/G5</x:v>
      </x:c>
      <x:c r="I26" s="42" t="str">
        <x:v>P1</x:v>
      </x:c>
      <x:c r="J26" s="36" t="str">
        <x:v>Typed adapter + staff cohort + rollback</x:v>
      </x:c>
      <x:c r="K26" s="36" t="str">
        <x:v>BCK-18/runtime absent</x:v>
      </x:c>
      <x:c r="L26" s="36" t="str">
        <x:v>Booking / Mobile</x:v>
      </x:c>
      <x:c r="M26" s="36" t="str">
        <x:v>docs/product/EVENT_CLASSIFICATION_ECL_03_SLICE_SPEC.md</x:v>
      </x:c>
      <x:c r="N26" s="45" t="n">
        <x:v>46250.5</x:v>
      </x:c>
      <x:c r="O26" s="48" t="n">
        <x:f>IF(B26="","",AVERAGE(IFERROR(VLOOKUP(D26,'Справочники'!$A$5:$B$14,2,FALSE),0),IFERROR(VLOOKUP(E26,'Справочники'!$D$5:$E$12,2,FALSE),0),IFERROR(VLOOKUP(F26,'Справочники'!$G$5:$H$12,2,FALSE),0),IFERROR(VLOOKUP(G26,'Справочники'!$J$5:$K$12,2,FALSE),0)))</x:f>
        <x:v>0.25</x:v>
      </x:c>
      <x:c r="P26" s="36" t="str"/>
    </x:row>
    <x:row r="27" ht="44" customHeight="1">
      <x:c r="A27" s="39" t="str">
        <x:v>ECL-03H</x:v>
      </x:c>
      <x:c r="B27" s="36" t="str">
        <x:v>Production security/load/operations proof</x:v>
      </x:c>
      <x:c r="C27" s="36" t="str">
        <x:v>Booking stage</x:v>
      </x:c>
      <x:c r="D27" s="42" t="str">
        <x:v>План</x:v>
      </x:c>
      <x:c r="E27" s="42" t="str">
        <x:v>Approved</x:v>
      </x:c>
      <x:c r="F27" s="42" t="str">
        <x:v>Отсутствует</x:v>
      </x:c>
      <x:c r="G27" s="42" t="str">
        <x:v>Не запускались</x:v>
      </x:c>
      <x:c r="H27" s="42" t="str">
        <x:v>Production proof</x:v>
      </x:c>
      <x:c r="I27" s="42" t="str">
        <x:v>P0</x:v>
      </x:c>
      <x:c r="J27" s="36" t="str">
        <x:v>Do not mark Done on code merge alone</x:v>
      </x:c>
      <x:c r="K27" s="36" t="str">
        <x:v>Security/legal/ops/load</x:v>
      </x:c>
      <x:c r="L27" s="36" t="str">
        <x:v>Booking Ops</x:v>
      </x:c>
      <x:c r="M27" s="36" t="str">
        <x:v>docs/product/EVENT_BOOKING_BACKEND_FIREBASE_FULL_SPEC.md</x:v>
      </x:c>
      <x:c r="N27" s="45" t="n">
        <x:v>46250.5</x:v>
      </x:c>
      <x:c r="O27" s="48" t="n">
        <x:f>IF(B27="","",AVERAGE(IFERROR(VLOOKUP(D27,'Справочники'!$A$5:$B$14,2,FALSE),0),IFERROR(VLOOKUP(E27,'Справочники'!$D$5:$E$12,2,FALSE),0),IFERROR(VLOOKUP(F27,'Справочники'!$G$5:$H$12,2,FALSE),0),IFERROR(VLOOKUP(G27,'Справочники'!$J$5:$K$12,2,FALSE),0)))</x:f>
        <x:v>0.25</x:v>
      </x:c>
      <x:c r="P27" s="36" t="str"/>
    </x:row>
    <x:row r="28" ht="44" customHeight="1">
      <x:c r="A28" s="39"/>
      <x:c r="B28" s="36"/>
      <x:c r="C28" s="36"/>
      <x:c r="D28" s="42"/>
      <x:c r="E28" s="42"/>
      <x:c r="F28" s="42"/>
      <x:c r="G28" s="42"/>
      <x:c r="H28" s="42"/>
      <x:c r="I28" s="42"/>
      <x:c r="J28" s="36"/>
      <x:c r="K28" s="36"/>
      <x:c r="L28" s="36"/>
      <x:c r="M28" s="36"/>
      <x:c r="N28" s="45"/>
      <x:c r="O28" s="48" t="str">
        <x:f>IF(B28="","",AVERAGE(IFERROR(VLOOKUP(D28,'Справочники'!$A$5:$B$14,2,FALSE),0),IFERROR(VLOOKUP(E28,'Справочники'!$D$5:$E$12,2,FALSE),0),IFERROR(VLOOKUP(F28,'Справочники'!$G$5:$H$12,2,FALSE),0),IFERROR(VLOOKUP(G28,'Справочники'!$J$5:$K$12,2,FALSE),0)))</x:f>
      </x:c>
      <x:c r="P28" s="36"/>
    </x:row>
    <x:row r="29" ht="44" customHeight="1">
      <x:c r="A29" s="39"/>
      <x:c r="B29" s="36"/>
      <x:c r="C29" s="36"/>
      <x:c r="D29" s="42"/>
      <x:c r="E29" s="42"/>
      <x:c r="F29" s="42"/>
      <x:c r="G29" s="42"/>
      <x:c r="H29" s="42"/>
      <x:c r="I29" s="42"/>
      <x:c r="J29" s="36"/>
      <x:c r="K29" s="36"/>
      <x:c r="L29" s="36"/>
      <x:c r="M29" s="36"/>
      <x:c r="N29" s="45"/>
      <x:c r="O29" s="48" t="str">
        <x:f>IF(B29="","",AVERAGE(IFERROR(VLOOKUP(D29,'Справочники'!$A$5:$B$14,2,FALSE),0),IFERROR(VLOOKUP(E29,'Справочники'!$D$5:$E$12,2,FALSE),0),IFERROR(VLOOKUP(F29,'Справочники'!$G$5:$H$12,2,FALSE),0),IFERROR(VLOOKUP(G29,'Справочники'!$J$5:$K$12,2,FALSE),0)))</x:f>
      </x:c>
      <x:c r="P29" s="36"/>
    </x:row>
    <x:row r="30" ht="44" customHeight="1">
      <x:c r="A30" s="39"/>
      <x:c r="B30" s="36"/>
      <x:c r="C30" s="36"/>
      <x:c r="D30" s="42"/>
      <x:c r="E30" s="42"/>
      <x:c r="F30" s="42"/>
      <x:c r="G30" s="42"/>
      <x:c r="H30" s="42"/>
      <x:c r="I30" s="42"/>
      <x:c r="J30" s="36"/>
      <x:c r="K30" s="36"/>
      <x:c r="L30" s="36"/>
      <x:c r="M30" s="36"/>
      <x:c r="N30" s="45"/>
      <x:c r="O30" s="48" t="str">
        <x:f>IF(B30="","",AVERAGE(IFERROR(VLOOKUP(D30,'Справочники'!$A$5:$B$14,2,FALSE),0),IFERROR(VLOOKUP(E30,'Справочники'!$D$5:$E$12,2,FALSE),0),IFERROR(VLOOKUP(F30,'Справочники'!$G$5:$H$12,2,FALSE),0),IFERROR(VLOOKUP(G30,'Справочники'!$J$5:$K$12,2,FALSE),0)))</x:f>
      </x:c>
      <x:c r="P30" s="36"/>
    </x:row>
    <x:row r="31" ht="44" customHeight="1">
      <x:c r="A31" s="39"/>
      <x:c r="B31" s="36"/>
      <x:c r="C31" s="36"/>
      <x:c r="D31" s="42"/>
      <x:c r="E31" s="42"/>
      <x:c r="F31" s="42"/>
      <x:c r="G31" s="42"/>
      <x:c r="H31" s="42"/>
      <x:c r="I31" s="42"/>
      <x:c r="J31" s="36"/>
      <x:c r="K31" s="36"/>
      <x:c r="L31" s="36"/>
      <x:c r="M31" s="36"/>
      <x:c r="N31" s="45"/>
      <x:c r="O31" s="48" t="str">
        <x:f>IF(B31="","",AVERAGE(IFERROR(VLOOKUP(D31,'Справочники'!$A$5:$B$14,2,FALSE),0),IFERROR(VLOOKUP(E31,'Справочники'!$D$5:$E$12,2,FALSE),0),IFERROR(VLOOKUP(F31,'Справочники'!$G$5:$H$12,2,FALSE),0),IFERROR(VLOOKUP(G31,'Справочники'!$J$5:$K$12,2,FALSE),0)))</x:f>
      </x:c>
      <x:c r="P31" s="36"/>
    </x:row>
    <x:row r="32" ht="44" customHeight="1">
      <x:c r="A32" s="39"/>
      <x:c r="B32" s="36"/>
      <x:c r="C32" s="36"/>
      <x:c r="D32" s="42"/>
      <x:c r="E32" s="42"/>
      <x:c r="F32" s="42"/>
      <x:c r="G32" s="42"/>
      <x:c r="H32" s="42"/>
      <x:c r="I32" s="42"/>
      <x:c r="J32" s="36"/>
      <x:c r="K32" s="36"/>
      <x:c r="L32" s="36"/>
      <x:c r="M32" s="36"/>
      <x:c r="N32" s="45"/>
      <x:c r="O32" s="48" t="str">
        <x:f>IF(B32="","",AVERAGE(IFERROR(VLOOKUP(D32,'Справочники'!$A$5:$B$14,2,FALSE),0),IFERROR(VLOOKUP(E32,'Справочники'!$D$5:$E$12,2,FALSE),0),IFERROR(VLOOKUP(F32,'Справочники'!$G$5:$H$12,2,FALSE),0),IFERROR(VLOOKUP(G32,'Справочники'!$J$5:$K$12,2,FALSE),0)))</x:f>
      </x:c>
      <x:c r="P32" s="36"/>
    </x:row>
    <x:row r="33" ht="44" customHeight="1">
      <x:c r="A33" s="39"/>
      <x:c r="B33" s="36"/>
      <x:c r="C33" s="36"/>
      <x:c r="D33" s="42"/>
      <x:c r="E33" s="42"/>
      <x:c r="F33" s="42"/>
      <x:c r="G33" s="42"/>
      <x:c r="H33" s="42"/>
      <x:c r="I33" s="42"/>
      <x:c r="J33" s="36"/>
      <x:c r="K33" s="36"/>
      <x:c r="L33" s="36"/>
      <x:c r="M33" s="36"/>
      <x:c r="N33" s="45"/>
      <x:c r="O33" s="48" t="str">
        <x:f>IF(B33="","",AVERAGE(IFERROR(VLOOKUP(D33,'Справочники'!$A$5:$B$14,2,FALSE),0),IFERROR(VLOOKUP(E33,'Справочники'!$D$5:$E$12,2,FALSE),0),IFERROR(VLOOKUP(F33,'Справочники'!$G$5:$H$12,2,FALSE),0),IFERROR(VLOOKUP(G33,'Справочники'!$J$5:$K$12,2,FALSE),0)))</x:f>
      </x:c>
      <x:c r="P33" s="36"/>
    </x:row>
    <x:row r="34" ht="44" customHeight="1">
      <x:c r="A34" s="39"/>
      <x:c r="B34" s="36"/>
      <x:c r="C34" s="36"/>
      <x:c r="D34" s="42"/>
      <x:c r="E34" s="42"/>
      <x:c r="F34" s="42"/>
      <x:c r="G34" s="42"/>
      <x:c r="H34" s="42"/>
      <x:c r="I34" s="42"/>
      <x:c r="J34" s="36"/>
      <x:c r="K34" s="36"/>
      <x:c r="L34" s="36"/>
      <x:c r="M34" s="36"/>
      <x:c r="N34" s="45"/>
      <x:c r="O34" s="48" t="str">
        <x:f>IF(B34="","",AVERAGE(IFERROR(VLOOKUP(D34,'Справочники'!$A$5:$B$14,2,FALSE),0),IFERROR(VLOOKUP(E34,'Справочники'!$D$5:$E$12,2,FALSE),0),IFERROR(VLOOKUP(F34,'Справочники'!$G$5:$H$12,2,FALSE),0),IFERROR(VLOOKUP(G34,'Справочники'!$J$5:$K$12,2,FALSE),0)))</x:f>
      </x:c>
      <x:c r="P34" s="36"/>
    </x:row>
    <x:row r="35" ht="44" customHeight="1">
      <x:c r="A35" s="39"/>
      <x:c r="B35" s="36"/>
      <x:c r="C35" s="36"/>
      <x:c r="D35" s="42"/>
      <x:c r="E35" s="42"/>
      <x:c r="F35" s="42"/>
      <x:c r="G35" s="42"/>
      <x:c r="H35" s="42"/>
      <x:c r="I35" s="42"/>
      <x:c r="J35" s="36"/>
      <x:c r="K35" s="36"/>
      <x:c r="L35" s="36"/>
      <x:c r="M35" s="36"/>
      <x:c r="N35" s="45"/>
      <x:c r="O35" s="48" t="str">
        <x:f>IF(B35="","",AVERAGE(IFERROR(VLOOKUP(D35,'Справочники'!$A$5:$B$14,2,FALSE),0),IFERROR(VLOOKUP(E35,'Справочники'!$D$5:$E$12,2,FALSE),0),IFERROR(VLOOKUP(F35,'Справочники'!$G$5:$H$12,2,FALSE),0),IFERROR(VLOOKUP(G35,'Справочники'!$J$5:$K$12,2,FALSE),0)))</x:f>
      </x:c>
      <x:c r="P35" s="36"/>
    </x:row>
    <x:row r="36" ht="44" customHeight="1">
      <x:c r="A36" s="39"/>
      <x:c r="B36" s="36"/>
      <x:c r="C36" s="36"/>
      <x:c r="D36" s="42"/>
      <x:c r="E36" s="42"/>
      <x:c r="F36" s="42"/>
      <x:c r="G36" s="42"/>
      <x:c r="H36" s="42"/>
      <x:c r="I36" s="42"/>
      <x:c r="J36" s="36"/>
      <x:c r="K36" s="36"/>
      <x:c r="L36" s="36"/>
      <x:c r="M36" s="36"/>
      <x:c r="N36" s="45"/>
      <x:c r="O36" s="48" t="str">
        <x:f>IF(B36="","",AVERAGE(IFERROR(VLOOKUP(D36,'Справочники'!$A$5:$B$14,2,FALSE),0),IFERROR(VLOOKUP(E36,'Справочники'!$D$5:$E$12,2,FALSE),0),IFERROR(VLOOKUP(F36,'Справочники'!$G$5:$H$12,2,FALSE),0),IFERROR(VLOOKUP(G36,'Справочники'!$J$5:$K$12,2,FALSE),0)))</x:f>
      </x:c>
      <x:c r="P36" s="36"/>
    </x:row>
    <x:row r="37" ht="44" customHeight="1">
      <x:c r="A37" s="39"/>
      <x:c r="B37" s="36"/>
      <x:c r="C37" s="36"/>
      <x:c r="D37" s="42"/>
      <x:c r="E37" s="42"/>
      <x:c r="F37" s="42"/>
      <x:c r="G37" s="42"/>
      <x:c r="H37" s="42"/>
      <x:c r="I37" s="42"/>
      <x:c r="J37" s="36"/>
      <x:c r="K37" s="36"/>
      <x:c r="L37" s="36"/>
      <x:c r="M37" s="36"/>
      <x:c r="N37" s="45"/>
      <x:c r="O37" s="48" t="str">
        <x:f>IF(B37="","",AVERAGE(IFERROR(VLOOKUP(D37,'Справочники'!$A$5:$B$14,2,FALSE),0),IFERROR(VLOOKUP(E37,'Справочники'!$D$5:$E$12,2,FALSE),0),IFERROR(VLOOKUP(F37,'Справочники'!$G$5:$H$12,2,FALSE),0),IFERROR(VLOOKUP(G37,'Справочники'!$J$5:$K$12,2,FALSE),0)))</x:f>
      </x:c>
      <x:c r="P37" s="36"/>
    </x:row>
    <x:row r="38" ht="44" customHeight="1">
      <x:c r="A38" s="39"/>
      <x:c r="B38" s="36"/>
      <x:c r="C38" s="36"/>
      <x:c r="D38" s="42"/>
      <x:c r="E38" s="42"/>
      <x:c r="F38" s="42"/>
      <x:c r="G38" s="42"/>
      <x:c r="H38" s="42"/>
      <x:c r="I38" s="42"/>
      <x:c r="J38" s="36"/>
      <x:c r="K38" s="36"/>
      <x:c r="L38" s="36"/>
      <x:c r="M38" s="36"/>
      <x:c r="N38" s="45"/>
      <x:c r="O38" s="48" t="str">
        <x:f>IF(B38="","",AVERAGE(IFERROR(VLOOKUP(D38,'Справочники'!$A$5:$B$14,2,FALSE),0),IFERROR(VLOOKUP(E38,'Справочники'!$D$5:$E$12,2,FALSE),0),IFERROR(VLOOKUP(F38,'Справочники'!$G$5:$H$12,2,FALSE),0),IFERROR(VLOOKUP(G38,'Справочники'!$J$5:$K$12,2,FALSE),0)))</x:f>
      </x:c>
      <x:c r="P38" s="36"/>
    </x:row>
    <x:row r="39" ht="44" customHeight="1">
      <x:c r="A39" s="39"/>
      <x:c r="B39" s="36"/>
      <x:c r="C39" s="36"/>
      <x:c r="D39" s="42"/>
      <x:c r="E39" s="42"/>
      <x:c r="F39" s="42"/>
      <x:c r="G39" s="42"/>
      <x:c r="H39" s="42"/>
      <x:c r="I39" s="42"/>
      <x:c r="J39" s="36"/>
      <x:c r="K39" s="36"/>
      <x:c r="L39" s="36"/>
      <x:c r="M39" s="36"/>
      <x:c r="N39" s="45"/>
      <x:c r="O39" s="48" t="str">
        <x:f>IF(B39="","",AVERAGE(IFERROR(VLOOKUP(D39,'Справочники'!$A$5:$B$14,2,FALSE),0),IFERROR(VLOOKUP(E39,'Справочники'!$D$5:$E$12,2,FALSE),0),IFERROR(VLOOKUP(F39,'Справочники'!$G$5:$H$12,2,FALSE),0),IFERROR(VLOOKUP(G39,'Справочники'!$J$5:$K$12,2,FALSE),0)))</x:f>
      </x:c>
      <x:c r="P39" s="36"/>
    </x:row>
    <x:row r="40" ht="44" customHeight="1">
      <x:c r="A40" s="39"/>
      <x:c r="B40" s="36"/>
      <x:c r="C40" s="36"/>
      <x:c r="D40" s="42"/>
      <x:c r="E40" s="42"/>
      <x:c r="F40" s="42"/>
      <x:c r="G40" s="42"/>
      <x:c r="H40" s="42"/>
      <x:c r="I40" s="42"/>
      <x:c r="J40" s="36"/>
      <x:c r="K40" s="36"/>
      <x:c r="L40" s="36"/>
      <x:c r="M40" s="36"/>
      <x:c r="N40" s="45"/>
      <x:c r="O40" s="48" t="str">
        <x:f>IF(B40="","",AVERAGE(IFERROR(VLOOKUP(D40,'Справочники'!$A$5:$B$14,2,FALSE),0),IFERROR(VLOOKUP(E40,'Справочники'!$D$5:$E$12,2,FALSE),0),IFERROR(VLOOKUP(F40,'Справочники'!$G$5:$H$12,2,FALSE),0),IFERROR(VLOOKUP(G40,'Справочники'!$J$5:$K$12,2,FALSE),0)))</x:f>
      </x:c>
      <x:c r="P40" s="36"/>
    </x:row>
    <x:row r="41" ht="44" customHeight="1">
      <x:c r="A41" s="39"/>
      <x:c r="B41" s="36"/>
      <x:c r="C41" s="36"/>
      <x:c r="D41" s="42"/>
      <x:c r="E41" s="42"/>
      <x:c r="F41" s="42"/>
      <x:c r="G41" s="42"/>
      <x:c r="H41" s="42"/>
      <x:c r="I41" s="42"/>
      <x:c r="J41" s="36"/>
      <x:c r="K41" s="36"/>
      <x:c r="L41" s="36"/>
      <x:c r="M41" s="36"/>
      <x:c r="N41" s="45"/>
      <x:c r="O41" s="48" t="str">
        <x:f>IF(B41="","",AVERAGE(IFERROR(VLOOKUP(D41,'Справочники'!$A$5:$B$14,2,FALSE),0),IFERROR(VLOOKUP(E41,'Справочники'!$D$5:$E$12,2,FALSE),0),IFERROR(VLOOKUP(F41,'Справочники'!$G$5:$H$12,2,FALSE),0),IFERROR(VLOOKUP(G41,'Справочники'!$J$5:$K$12,2,FALSE),0)))</x:f>
      </x:c>
      <x:c r="P41" s="36"/>
    </x:row>
    <x:row r="42" ht="44" customHeight="1">
      <x:c r="A42" s="39"/>
      <x:c r="B42" s="36"/>
      <x:c r="C42" s="36"/>
      <x:c r="D42" s="42"/>
      <x:c r="E42" s="42"/>
      <x:c r="F42" s="42"/>
      <x:c r="G42" s="42"/>
      <x:c r="H42" s="42"/>
      <x:c r="I42" s="42"/>
      <x:c r="J42" s="36"/>
      <x:c r="K42" s="36"/>
      <x:c r="L42" s="36"/>
      <x:c r="M42" s="36"/>
      <x:c r="N42" s="45"/>
      <x:c r="O42" s="48" t="str">
        <x:f>IF(B42="","",AVERAGE(IFERROR(VLOOKUP(D42,'Справочники'!$A$5:$B$14,2,FALSE),0),IFERROR(VLOOKUP(E42,'Справочники'!$D$5:$E$12,2,FALSE),0),IFERROR(VLOOKUP(F42,'Справочники'!$G$5:$H$12,2,FALSE),0),IFERROR(VLOOKUP(G42,'Справочники'!$J$5:$K$12,2,FALSE),0)))</x:f>
      </x:c>
      <x:c r="P42" s="36"/>
    </x:row>
    <x:row r="43" ht="44" customHeight="1">
      <x:c r="A43" s="39"/>
      <x:c r="B43" s="36"/>
      <x:c r="C43" s="36"/>
      <x:c r="D43" s="42"/>
      <x:c r="E43" s="42"/>
      <x:c r="F43" s="42"/>
      <x:c r="G43" s="42"/>
      <x:c r="H43" s="42"/>
      <x:c r="I43" s="42"/>
      <x:c r="J43" s="36"/>
      <x:c r="K43" s="36"/>
      <x:c r="L43" s="36"/>
      <x:c r="M43" s="36"/>
      <x:c r="N43" s="45"/>
      <x:c r="O43" s="48" t="str">
        <x:f>IF(B43="","",AVERAGE(IFERROR(VLOOKUP(D43,'Справочники'!$A$5:$B$14,2,FALSE),0),IFERROR(VLOOKUP(E43,'Справочники'!$D$5:$E$12,2,FALSE),0),IFERROR(VLOOKUP(F43,'Справочники'!$G$5:$H$12,2,FALSE),0),IFERROR(VLOOKUP(G43,'Справочники'!$J$5:$K$12,2,FALSE),0)))</x:f>
      </x:c>
      <x:c r="P43" s="36"/>
    </x:row>
    <x:row r="44" ht="44" customHeight="1">
      <x:c r="A44" s="39"/>
      <x:c r="B44" s="36"/>
      <x:c r="C44" s="36"/>
      <x:c r="D44" s="42"/>
      <x:c r="E44" s="42"/>
      <x:c r="F44" s="42"/>
      <x:c r="G44" s="42"/>
      <x:c r="H44" s="42"/>
      <x:c r="I44" s="42"/>
      <x:c r="J44" s="36"/>
      <x:c r="K44" s="36"/>
      <x:c r="L44" s="36"/>
      <x:c r="M44" s="36"/>
      <x:c r="N44" s="45"/>
      <x:c r="O44" s="48" t="str">
        <x:f>IF(B44="","",AVERAGE(IFERROR(VLOOKUP(D44,'Справочники'!$A$5:$B$14,2,FALSE),0),IFERROR(VLOOKUP(E44,'Справочники'!$D$5:$E$12,2,FALSE),0),IFERROR(VLOOKUP(F44,'Справочники'!$G$5:$H$12,2,FALSE),0),IFERROR(VLOOKUP(G44,'Справочники'!$J$5:$K$12,2,FALSE),0)))</x:f>
      </x:c>
      <x:c r="P44" s="36"/>
    </x:row>
    <x:row r="45" ht="44" customHeight="1">
      <x:c r="A45" s="39"/>
      <x:c r="B45" s="36"/>
      <x:c r="C45" s="36"/>
      <x:c r="D45" s="42"/>
      <x:c r="E45" s="42"/>
      <x:c r="F45" s="42"/>
      <x:c r="G45" s="42"/>
      <x:c r="H45" s="42"/>
      <x:c r="I45" s="42"/>
      <x:c r="J45" s="36"/>
      <x:c r="K45" s="36"/>
      <x:c r="L45" s="36"/>
      <x:c r="M45" s="36"/>
      <x:c r="N45" s="45"/>
      <x:c r="O45" s="48" t="str">
        <x:f>IF(B45="","",AVERAGE(IFERROR(VLOOKUP(D45,'Справочники'!$A$5:$B$14,2,FALSE),0),IFERROR(VLOOKUP(E45,'Справочники'!$D$5:$E$12,2,FALSE),0),IFERROR(VLOOKUP(F45,'Справочники'!$G$5:$H$12,2,FALSE),0),IFERROR(VLOOKUP(G45,'Справочники'!$J$5:$K$12,2,FALSE),0)))</x:f>
      </x:c>
      <x:c r="P45" s="36"/>
    </x:row>
    <x:row r="46" ht="44" customHeight="1">
      <x:c r="A46" s="39"/>
      <x:c r="B46" s="36"/>
      <x:c r="C46" s="36"/>
      <x:c r="D46" s="42"/>
      <x:c r="E46" s="42"/>
      <x:c r="F46" s="42"/>
      <x:c r="G46" s="42"/>
      <x:c r="H46" s="42"/>
      <x:c r="I46" s="42"/>
      <x:c r="J46" s="36"/>
      <x:c r="K46" s="36"/>
      <x:c r="L46" s="36"/>
      <x:c r="M46" s="36"/>
      <x:c r="N46" s="45"/>
      <x:c r="O46" s="48" t="str">
        <x:f>IF(B46="","",AVERAGE(IFERROR(VLOOKUP(D46,'Справочники'!$A$5:$B$14,2,FALSE),0),IFERROR(VLOOKUP(E46,'Справочники'!$D$5:$E$12,2,FALSE),0),IFERROR(VLOOKUP(F46,'Справочники'!$G$5:$H$12,2,FALSE),0),IFERROR(VLOOKUP(G46,'Справочники'!$J$5:$K$12,2,FALSE),0)))</x:f>
      </x:c>
      <x:c r="P46" s="36"/>
    </x:row>
    <x:row r="47" ht="44" customHeight="1">
      <x:c r="A47" s="39"/>
      <x:c r="B47" s="36"/>
      <x:c r="C47" s="36"/>
      <x:c r="D47" s="42"/>
      <x:c r="E47" s="42"/>
      <x:c r="F47" s="42"/>
      <x:c r="G47" s="42"/>
      <x:c r="H47" s="42"/>
      <x:c r="I47" s="42"/>
      <x:c r="J47" s="36"/>
      <x:c r="K47" s="36"/>
      <x:c r="L47" s="36"/>
      <x:c r="M47" s="36"/>
      <x:c r="N47" s="45"/>
      <x:c r="O47" s="48" t="str">
        <x:f>IF(B47="","",AVERAGE(IFERROR(VLOOKUP(D47,'Справочники'!$A$5:$B$14,2,FALSE),0),IFERROR(VLOOKUP(E47,'Справочники'!$D$5:$E$12,2,FALSE),0),IFERROR(VLOOKUP(F47,'Справочники'!$G$5:$H$12,2,FALSE),0),IFERROR(VLOOKUP(G47,'Справочники'!$J$5:$K$12,2,FALSE),0)))</x:f>
      </x:c>
      <x:c r="P47" s="36"/>
    </x:row>
    <x:row r="48" ht="44" customHeight="1">
      <x:c r="A48" s="39"/>
      <x:c r="B48" s="36"/>
      <x:c r="C48" s="36"/>
      <x:c r="D48" s="42"/>
      <x:c r="E48" s="42"/>
      <x:c r="F48" s="42"/>
      <x:c r="G48" s="42"/>
      <x:c r="H48" s="42"/>
      <x:c r="I48" s="42"/>
      <x:c r="J48" s="36"/>
      <x:c r="K48" s="36"/>
      <x:c r="L48" s="36"/>
      <x:c r="M48" s="36"/>
      <x:c r="N48" s="45"/>
      <x:c r="O48" s="48" t="str">
        <x:f>IF(B48="","",AVERAGE(IFERROR(VLOOKUP(D48,'Справочники'!$A$5:$B$14,2,FALSE),0),IFERROR(VLOOKUP(E48,'Справочники'!$D$5:$E$12,2,FALSE),0),IFERROR(VLOOKUP(F48,'Справочники'!$G$5:$H$12,2,FALSE),0),IFERROR(VLOOKUP(G48,'Справочники'!$J$5:$K$12,2,FALSE),0)))</x:f>
      </x:c>
      <x:c r="P48" s="36"/>
    </x:row>
    <x:row r="49" ht="44" customHeight="1">
      <x:c r="A49" s="39"/>
      <x:c r="B49" s="36"/>
      <x:c r="C49" s="36"/>
      <x:c r="D49" s="42"/>
      <x:c r="E49" s="42"/>
      <x:c r="F49" s="42"/>
      <x:c r="G49" s="42"/>
      <x:c r="H49" s="42"/>
      <x:c r="I49" s="42"/>
      <x:c r="J49" s="36"/>
      <x:c r="K49" s="36"/>
      <x:c r="L49" s="36"/>
      <x:c r="M49" s="36"/>
      <x:c r="N49" s="45"/>
      <x:c r="O49" s="48" t="str">
        <x:f>IF(B49="","",AVERAGE(IFERROR(VLOOKUP(D49,'Справочники'!$A$5:$B$14,2,FALSE),0),IFERROR(VLOOKUP(E49,'Справочники'!$D$5:$E$12,2,FALSE),0),IFERROR(VLOOKUP(F49,'Справочники'!$G$5:$H$12,2,FALSE),0),IFERROR(VLOOKUP(G49,'Справочники'!$J$5:$K$12,2,FALSE),0)))</x:f>
      </x:c>
      <x:c r="P49" s="36"/>
    </x:row>
    <x:row r="50" ht="44" customHeight="1">
      <x:c r="A50" s="39"/>
      <x:c r="B50" s="36"/>
      <x:c r="C50" s="36"/>
      <x:c r="D50" s="42"/>
      <x:c r="E50" s="42"/>
      <x:c r="F50" s="42"/>
      <x:c r="G50" s="42"/>
      <x:c r="H50" s="42"/>
      <x:c r="I50" s="42"/>
      <x:c r="J50" s="36"/>
      <x:c r="K50" s="36"/>
      <x:c r="L50" s="36"/>
      <x:c r="M50" s="36"/>
      <x:c r="N50" s="45"/>
      <x:c r="O50" s="48" t="str">
        <x:f>IF(B50="","",AVERAGE(IFERROR(VLOOKUP(D50,'Справочники'!$A$5:$B$14,2,FALSE),0),IFERROR(VLOOKUP(E50,'Справочники'!$D$5:$E$12,2,FALSE),0),IFERROR(VLOOKUP(F50,'Справочники'!$G$5:$H$12,2,FALSE),0),IFERROR(VLOOKUP(G50,'Справочники'!$J$5:$K$12,2,FALSE),0)))</x:f>
      </x:c>
      <x:c r="P50" s="36"/>
    </x:row>
    <x:row r="51" ht="44" customHeight="1">
      <x:c r="A51" s="39"/>
      <x:c r="B51" s="36"/>
      <x:c r="C51" s="36"/>
      <x:c r="D51" s="42"/>
      <x:c r="E51" s="42"/>
      <x:c r="F51" s="42"/>
      <x:c r="G51" s="42"/>
      <x:c r="H51" s="42"/>
      <x:c r="I51" s="42"/>
      <x:c r="J51" s="36"/>
      <x:c r="K51" s="36"/>
      <x:c r="L51" s="36"/>
      <x:c r="M51" s="36"/>
      <x:c r="N51" s="45"/>
      <x:c r="O51" s="48" t="str">
        <x:f>IF(B51="","",AVERAGE(IFERROR(VLOOKUP(D51,'Справочники'!$A$5:$B$14,2,FALSE),0),IFERROR(VLOOKUP(E51,'Справочники'!$D$5:$E$12,2,FALSE),0),IFERROR(VLOOKUP(F51,'Справочники'!$G$5:$H$12,2,FALSE),0),IFERROR(VLOOKUP(G51,'Справочники'!$J$5:$K$12,2,FALSE),0)))</x:f>
      </x:c>
      <x:c r="P51" s="36"/>
    </x:row>
    <x:row r="52" ht="44" customHeight="1">
      <x:c r="A52" s="39"/>
      <x:c r="B52" s="36"/>
      <x:c r="C52" s="36"/>
      <x:c r="D52" s="42"/>
      <x:c r="E52" s="42"/>
      <x:c r="F52" s="42"/>
      <x:c r="G52" s="42"/>
      <x:c r="H52" s="42"/>
      <x:c r="I52" s="42"/>
      <x:c r="J52" s="36"/>
      <x:c r="K52" s="36"/>
      <x:c r="L52" s="36"/>
      <x:c r="M52" s="36"/>
      <x:c r="N52" s="45"/>
      <x:c r="O52" s="48" t="str">
        <x:f>IF(B52="","",AVERAGE(IFERROR(VLOOKUP(D52,'Справочники'!$A$5:$B$14,2,FALSE),0),IFERROR(VLOOKUP(E52,'Справочники'!$D$5:$E$12,2,FALSE),0),IFERROR(VLOOKUP(F52,'Справочники'!$G$5:$H$12,2,FALSE),0),IFERROR(VLOOKUP(G52,'Справочники'!$J$5:$K$12,2,FALSE),0)))</x:f>
      </x:c>
      <x:c r="P52" s="36"/>
    </x:row>
    <x:row r="53" ht="44" customHeight="1">
      <x:c r="A53" s="39"/>
      <x:c r="B53" s="36"/>
      <x:c r="C53" s="36"/>
      <x:c r="D53" s="42"/>
      <x:c r="E53" s="42"/>
      <x:c r="F53" s="42"/>
      <x:c r="G53" s="42"/>
      <x:c r="H53" s="42"/>
      <x:c r="I53" s="42"/>
      <x:c r="J53" s="36"/>
      <x:c r="K53" s="36"/>
      <x:c r="L53" s="36"/>
      <x:c r="M53" s="36"/>
      <x:c r="N53" s="45"/>
      <x:c r="O53" s="48" t="str">
        <x:f>IF(B53="","",AVERAGE(IFERROR(VLOOKUP(D53,'Справочники'!$A$5:$B$14,2,FALSE),0),IFERROR(VLOOKUP(E53,'Справочники'!$D$5:$E$12,2,FALSE),0),IFERROR(VLOOKUP(F53,'Справочники'!$G$5:$H$12,2,FALSE),0),IFERROR(VLOOKUP(G53,'Справочники'!$J$5:$K$12,2,FALSE),0)))</x:f>
      </x:c>
      <x:c r="P53" s="36"/>
    </x:row>
    <x:row r="54" ht="44" customHeight="1">
      <x:c r="A54" s="39"/>
      <x:c r="B54" s="36"/>
      <x:c r="C54" s="36"/>
      <x:c r="D54" s="42"/>
      <x:c r="E54" s="42"/>
      <x:c r="F54" s="42"/>
      <x:c r="G54" s="42"/>
      <x:c r="H54" s="42"/>
      <x:c r="I54" s="42"/>
      <x:c r="J54" s="36"/>
      <x:c r="K54" s="36"/>
      <x:c r="L54" s="36"/>
      <x:c r="M54" s="36"/>
      <x:c r="N54" s="45"/>
      <x:c r="O54" s="48" t="str">
        <x:f>IF(B54="","",AVERAGE(IFERROR(VLOOKUP(D54,'Справочники'!$A$5:$B$14,2,FALSE),0),IFERROR(VLOOKUP(E54,'Справочники'!$D$5:$E$12,2,FALSE),0),IFERROR(VLOOKUP(F54,'Справочники'!$G$5:$H$12,2,FALSE),0),IFERROR(VLOOKUP(G54,'Справочники'!$J$5:$K$12,2,FALSE),0)))</x:f>
      </x:c>
      <x:c r="P54" s="36"/>
    </x:row>
    <x:row r="55" ht="44" customHeight="1">
      <x:c r="A55" s="39"/>
      <x:c r="B55" s="36"/>
      <x:c r="C55" s="36"/>
      <x:c r="D55" s="42"/>
      <x:c r="E55" s="42"/>
      <x:c r="F55" s="42"/>
      <x:c r="G55" s="42"/>
      <x:c r="H55" s="42"/>
      <x:c r="I55" s="42"/>
      <x:c r="J55" s="36"/>
      <x:c r="K55" s="36"/>
      <x:c r="L55" s="36"/>
      <x:c r="M55" s="36"/>
      <x:c r="N55" s="45"/>
      <x:c r="O55" s="48" t="str">
        <x:f>IF(B55="","",AVERAGE(IFERROR(VLOOKUP(D55,'Справочники'!$A$5:$B$14,2,FALSE),0),IFERROR(VLOOKUP(E55,'Справочники'!$D$5:$E$12,2,FALSE),0),IFERROR(VLOOKUP(F55,'Справочники'!$G$5:$H$12,2,FALSE),0),IFERROR(VLOOKUP(G55,'Справочники'!$J$5:$K$12,2,FALSE),0)))</x:f>
      </x:c>
      <x:c r="P55" s="36"/>
    </x:row>
    <x:row r="56" ht="44" customHeight="1">
      <x:c r="A56" s="39"/>
      <x:c r="B56" s="36"/>
      <x:c r="C56" s="36"/>
      <x:c r="D56" s="42"/>
      <x:c r="E56" s="42"/>
      <x:c r="F56" s="42"/>
      <x:c r="G56" s="42"/>
      <x:c r="H56" s="42"/>
      <x:c r="I56" s="42"/>
      <x:c r="J56" s="36"/>
      <x:c r="K56" s="36"/>
      <x:c r="L56" s="36"/>
      <x:c r="M56" s="36"/>
      <x:c r="N56" s="45"/>
      <x:c r="O56" s="48" t="str">
        <x:f>IF(B56="","",AVERAGE(IFERROR(VLOOKUP(D56,'Справочники'!$A$5:$B$14,2,FALSE),0),IFERROR(VLOOKUP(E56,'Справочники'!$D$5:$E$12,2,FALSE),0),IFERROR(VLOOKUP(F56,'Справочники'!$G$5:$H$12,2,FALSE),0),IFERROR(VLOOKUP(G56,'Справочники'!$J$5:$K$12,2,FALSE),0)))</x:f>
      </x:c>
      <x:c r="P56" s="36"/>
    </x:row>
    <x:row r="57" ht="44" customHeight="1">
      <x:c r="A57" s="39"/>
      <x:c r="B57" s="36"/>
      <x:c r="C57" s="36"/>
      <x:c r="D57" s="42"/>
      <x:c r="E57" s="42"/>
      <x:c r="F57" s="42"/>
      <x:c r="G57" s="42"/>
      <x:c r="H57" s="42"/>
      <x:c r="I57" s="42"/>
      <x:c r="J57" s="36"/>
      <x:c r="K57" s="36"/>
      <x:c r="L57" s="36"/>
      <x:c r="M57" s="36"/>
      <x:c r="N57" s="45"/>
      <x:c r="O57" s="48" t="str">
        <x:f>IF(B57="","",AVERAGE(IFERROR(VLOOKUP(D57,'Справочники'!$A$5:$B$14,2,FALSE),0),IFERROR(VLOOKUP(E57,'Справочники'!$D$5:$E$12,2,FALSE),0),IFERROR(VLOOKUP(F57,'Справочники'!$G$5:$H$12,2,FALSE),0),IFERROR(VLOOKUP(G57,'Справочники'!$J$5:$K$12,2,FALSE),0)))</x:f>
      </x:c>
      <x:c r="P57" s="36"/>
    </x:row>
    <x:row r="58" ht="44" customHeight="1">
      <x:c r="A58" s="39"/>
      <x:c r="B58" s="36"/>
      <x:c r="C58" s="36"/>
      <x:c r="D58" s="42"/>
      <x:c r="E58" s="42"/>
      <x:c r="F58" s="42"/>
      <x:c r="G58" s="42"/>
      <x:c r="H58" s="42"/>
      <x:c r="I58" s="42"/>
      <x:c r="J58" s="36"/>
      <x:c r="K58" s="36"/>
      <x:c r="L58" s="36"/>
      <x:c r="M58" s="36"/>
      <x:c r="N58" s="45"/>
      <x:c r="O58" s="48" t="str">
        <x:f>IF(B58="","",AVERAGE(IFERROR(VLOOKUP(D58,'Справочники'!$A$5:$B$14,2,FALSE),0),IFERROR(VLOOKUP(E58,'Справочники'!$D$5:$E$12,2,FALSE),0),IFERROR(VLOOKUP(F58,'Справочники'!$G$5:$H$12,2,FALSE),0),IFERROR(VLOOKUP(G58,'Справочники'!$J$5:$K$12,2,FALSE),0)))</x:f>
      </x:c>
      <x:c r="P58" s="36"/>
    </x:row>
    <x:row r="59" ht="44" customHeight="1">
      <x:c r="A59" s="39"/>
      <x:c r="B59" s="36"/>
      <x:c r="C59" s="36"/>
      <x:c r="D59" s="42"/>
      <x:c r="E59" s="42"/>
      <x:c r="F59" s="42"/>
      <x:c r="G59" s="42"/>
      <x:c r="H59" s="42"/>
      <x:c r="I59" s="42"/>
      <x:c r="J59" s="36"/>
      <x:c r="K59" s="36"/>
      <x:c r="L59" s="36"/>
      <x:c r="M59" s="36"/>
      <x:c r="N59" s="45"/>
      <x:c r="O59" s="48" t="str">
        <x:f>IF(B59="","",AVERAGE(IFERROR(VLOOKUP(D59,'Справочники'!$A$5:$B$14,2,FALSE),0),IFERROR(VLOOKUP(E59,'Справочники'!$D$5:$E$12,2,FALSE),0),IFERROR(VLOOKUP(F59,'Справочники'!$G$5:$H$12,2,FALSE),0),IFERROR(VLOOKUP(G59,'Справочники'!$J$5:$K$12,2,FALSE),0)))</x:f>
      </x:c>
      <x:c r="P59" s="36"/>
    </x:row>
    <x:row r="60" ht="44" customHeight="1">
      <x:c r="A60" s="39"/>
      <x:c r="B60" s="36"/>
      <x:c r="C60" s="36"/>
      <x:c r="D60" s="42"/>
      <x:c r="E60" s="42"/>
      <x:c r="F60" s="42"/>
      <x:c r="G60" s="42"/>
      <x:c r="H60" s="42"/>
      <x:c r="I60" s="42"/>
      <x:c r="J60" s="36"/>
      <x:c r="K60" s="36"/>
      <x:c r="L60" s="36"/>
      <x:c r="M60" s="36"/>
      <x:c r="N60" s="45"/>
      <x:c r="O60" s="48" t="str">
        <x:f>IF(B60="","",AVERAGE(IFERROR(VLOOKUP(D60,'Справочники'!$A$5:$B$14,2,FALSE),0),IFERROR(VLOOKUP(E60,'Справочники'!$D$5:$E$12,2,FALSE),0),IFERROR(VLOOKUP(F60,'Справочники'!$G$5:$H$12,2,FALSE),0),IFERROR(VLOOKUP(G60,'Справочники'!$J$5:$K$12,2,FALSE),0)))</x:f>
      </x:c>
      <x:c r="P60" s="36"/>
    </x:row>
    <x:row r="61" ht="44" customHeight="1">
      <x:c r="A61" s="39"/>
      <x:c r="B61" s="36"/>
      <x:c r="C61" s="36"/>
      <x:c r="D61" s="42"/>
      <x:c r="E61" s="42"/>
      <x:c r="F61" s="42"/>
      <x:c r="G61" s="42"/>
      <x:c r="H61" s="42"/>
      <x:c r="I61" s="42"/>
      <x:c r="J61" s="36"/>
      <x:c r="K61" s="36"/>
      <x:c r="L61" s="36"/>
      <x:c r="M61" s="36"/>
      <x:c r="N61" s="45"/>
      <x:c r="O61" s="48" t="str">
        <x:f>IF(B61="","",AVERAGE(IFERROR(VLOOKUP(D61,'Справочники'!$A$5:$B$14,2,FALSE),0),IFERROR(VLOOKUP(E61,'Справочники'!$D$5:$E$12,2,FALSE),0),IFERROR(VLOOKUP(F61,'Справочники'!$G$5:$H$12,2,FALSE),0),IFERROR(VLOOKUP(G61,'Справочники'!$J$5:$K$12,2,FALSE),0)))</x:f>
      </x:c>
      <x:c r="P61" s="36"/>
    </x:row>
    <x:row r="62" ht="44" customHeight="1">
      <x:c r="A62" s="39"/>
      <x:c r="B62" s="36"/>
      <x:c r="C62" s="36"/>
      <x:c r="D62" s="42"/>
      <x:c r="E62" s="42"/>
      <x:c r="F62" s="42"/>
      <x:c r="G62" s="42"/>
      <x:c r="H62" s="42"/>
      <x:c r="I62" s="42"/>
      <x:c r="J62" s="36"/>
      <x:c r="K62" s="36"/>
      <x:c r="L62" s="36"/>
      <x:c r="M62" s="36"/>
      <x:c r="N62" s="45"/>
      <x:c r="O62" s="48" t="str">
        <x:f>IF(B62="","",AVERAGE(IFERROR(VLOOKUP(D62,'Справочники'!$A$5:$B$14,2,FALSE),0),IFERROR(VLOOKUP(E62,'Справочники'!$D$5:$E$12,2,FALSE),0),IFERROR(VLOOKUP(F62,'Справочники'!$G$5:$H$12,2,FALSE),0),IFERROR(VLOOKUP(G62,'Справочники'!$J$5:$K$12,2,FALSE),0)))</x:f>
      </x:c>
      <x:c r="P62" s="36"/>
    </x:row>
    <x:row r="63" ht="44" customHeight="1">
      <x:c r="A63" s="39"/>
      <x:c r="B63" s="36"/>
      <x:c r="C63" s="36"/>
      <x:c r="D63" s="42"/>
      <x:c r="E63" s="42"/>
      <x:c r="F63" s="42"/>
      <x:c r="G63" s="42"/>
      <x:c r="H63" s="42"/>
      <x:c r="I63" s="42"/>
      <x:c r="J63" s="36"/>
      <x:c r="K63" s="36"/>
      <x:c r="L63" s="36"/>
      <x:c r="M63" s="36"/>
      <x:c r="N63" s="45"/>
      <x:c r="O63" s="48" t="str">
        <x:f>IF(B63="","",AVERAGE(IFERROR(VLOOKUP(D63,'Справочники'!$A$5:$B$14,2,FALSE),0),IFERROR(VLOOKUP(E63,'Справочники'!$D$5:$E$12,2,FALSE),0),IFERROR(VLOOKUP(F63,'Справочники'!$G$5:$H$12,2,FALSE),0),IFERROR(VLOOKUP(G63,'Справочники'!$J$5:$K$12,2,FALSE),0)))</x:f>
      </x:c>
      <x:c r="P63" s="36"/>
    </x:row>
    <x:row r="64" ht="44" customHeight="1">
      <x:c r="A64" s="39"/>
      <x:c r="B64" s="36"/>
      <x:c r="C64" s="36"/>
      <x:c r="D64" s="42"/>
      <x:c r="E64" s="42"/>
      <x:c r="F64" s="42"/>
      <x:c r="G64" s="42"/>
      <x:c r="H64" s="42"/>
      <x:c r="I64" s="42"/>
      <x:c r="J64" s="36"/>
      <x:c r="K64" s="36"/>
      <x:c r="L64" s="36"/>
      <x:c r="M64" s="36"/>
      <x:c r="N64" s="45"/>
      <x:c r="O64" s="48" t="str">
        <x:f>IF(B64="","",AVERAGE(IFERROR(VLOOKUP(D64,'Справочники'!$A$5:$B$14,2,FALSE),0),IFERROR(VLOOKUP(E64,'Справочники'!$D$5:$E$12,2,FALSE),0),IFERROR(VLOOKUP(F64,'Справочники'!$G$5:$H$12,2,FALSE),0),IFERROR(VLOOKUP(G64,'Справочники'!$J$5:$K$12,2,FALSE),0)))</x:f>
      </x:c>
      <x:c r="P64" s="36"/>
    </x:row>
    <x:row r="65" ht="44" customHeight="1">
      <x:c r="A65" s="39"/>
      <x:c r="B65" s="36"/>
      <x:c r="C65" s="36"/>
      <x:c r="D65" s="42"/>
      <x:c r="E65" s="42"/>
      <x:c r="F65" s="42"/>
      <x:c r="G65" s="42"/>
      <x:c r="H65" s="42"/>
      <x:c r="I65" s="42"/>
      <x:c r="J65" s="36"/>
      <x:c r="K65" s="36"/>
      <x:c r="L65" s="36"/>
      <x:c r="M65" s="36"/>
      <x:c r="N65" s="45"/>
      <x:c r="O65" s="48" t="str">
        <x:f>IF(B65="","",AVERAGE(IFERROR(VLOOKUP(D65,'Справочники'!$A$5:$B$14,2,FALSE),0),IFERROR(VLOOKUP(E65,'Справочники'!$D$5:$E$12,2,FALSE),0),IFERROR(VLOOKUP(F65,'Справочники'!$G$5:$H$12,2,FALSE),0),IFERROR(VLOOKUP(G65,'Справочники'!$J$5:$K$12,2,FALSE),0)))</x:f>
      </x:c>
      <x:c r="P65" s="36"/>
    </x:row>
    <x:row r="66" ht="44" customHeight="1">
      <x:c r="A66" s="39"/>
      <x:c r="B66" s="36"/>
      <x:c r="C66" s="36"/>
      <x:c r="D66" s="42"/>
      <x:c r="E66" s="42"/>
      <x:c r="F66" s="42"/>
      <x:c r="G66" s="42"/>
      <x:c r="H66" s="42"/>
      <x:c r="I66" s="42"/>
      <x:c r="J66" s="36"/>
      <x:c r="K66" s="36"/>
      <x:c r="L66" s="36"/>
      <x:c r="M66" s="36"/>
      <x:c r="N66" s="45"/>
      <x:c r="O66" s="48" t="str">
        <x:f>IF(B66="","",AVERAGE(IFERROR(VLOOKUP(D66,'Справочники'!$A$5:$B$14,2,FALSE),0),IFERROR(VLOOKUP(E66,'Справочники'!$D$5:$E$12,2,FALSE),0),IFERROR(VLOOKUP(F66,'Справочники'!$G$5:$H$12,2,FALSE),0),IFERROR(VLOOKUP(G66,'Справочники'!$J$5:$K$12,2,FALSE),0)))</x:f>
      </x:c>
      <x:c r="P66" s="36"/>
    </x:row>
    <x:row r="67" ht="44" customHeight="1">
      <x:c r="A67" s="39"/>
      <x:c r="B67" s="36"/>
      <x:c r="C67" s="36"/>
      <x:c r="D67" s="42"/>
      <x:c r="E67" s="42"/>
      <x:c r="F67" s="42"/>
      <x:c r="G67" s="42"/>
      <x:c r="H67" s="42"/>
      <x:c r="I67" s="42"/>
      <x:c r="J67" s="36"/>
      <x:c r="K67" s="36"/>
      <x:c r="L67" s="36"/>
      <x:c r="M67" s="36"/>
      <x:c r="N67" s="45"/>
      <x:c r="O67" s="48" t="str">
        <x:f>IF(B67="","",AVERAGE(IFERROR(VLOOKUP(D67,'Справочники'!$A$5:$B$14,2,FALSE),0),IFERROR(VLOOKUP(E67,'Справочники'!$D$5:$E$12,2,FALSE),0),IFERROR(VLOOKUP(F67,'Справочники'!$G$5:$H$12,2,FALSE),0),IFERROR(VLOOKUP(G67,'Справочники'!$J$5:$K$12,2,FALSE),0)))</x:f>
      </x:c>
      <x:c r="P67" s="36"/>
    </x:row>
    <x:row r="68" ht="44" customHeight="1">
      <x:c r="A68" s="39"/>
      <x:c r="B68" s="36"/>
      <x:c r="C68" s="36"/>
      <x:c r="D68" s="42"/>
      <x:c r="E68" s="42"/>
      <x:c r="F68" s="42"/>
      <x:c r="G68" s="42"/>
      <x:c r="H68" s="42"/>
      <x:c r="I68" s="42"/>
      <x:c r="J68" s="36"/>
      <x:c r="K68" s="36"/>
      <x:c r="L68" s="36"/>
      <x:c r="M68" s="36"/>
      <x:c r="N68" s="45"/>
      <x:c r="O68" s="48" t="str">
        <x:f>IF(B68="","",AVERAGE(IFERROR(VLOOKUP(D68,'Справочники'!$A$5:$B$14,2,FALSE),0),IFERROR(VLOOKUP(E68,'Справочники'!$D$5:$E$12,2,FALSE),0),IFERROR(VLOOKUP(F68,'Справочники'!$G$5:$H$12,2,FALSE),0),IFERROR(VLOOKUP(G68,'Справочники'!$J$5:$K$12,2,FALSE),0)))</x:f>
      </x:c>
      <x:c r="P68" s="36"/>
    </x:row>
    <x:row r="69" ht="44" customHeight="1">
      <x:c r="A69" s="39"/>
      <x:c r="B69" s="36"/>
      <x:c r="C69" s="36"/>
      <x:c r="D69" s="42"/>
      <x:c r="E69" s="42"/>
      <x:c r="F69" s="42"/>
      <x:c r="G69" s="42"/>
      <x:c r="H69" s="42"/>
      <x:c r="I69" s="42"/>
      <x:c r="J69" s="36"/>
      <x:c r="K69" s="36"/>
      <x:c r="L69" s="36"/>
      <x:c r="M69" s="36"/>
      <x:c r="N69" s="45"/>
      <x:c r="O69" s="48" t="str">
        <x:f>IF(B69="","",AVERAGE(IFERROR(VLOOKUP(D69,'Справочники'!$A$5:$B$14,2,FALSE),0),IFERROR(VLOOKUP(E69,'Справочники'!$D$5:$E$12,2,FALSE),0),IFERROR(VLOOKUP(F69,'Справочники'!$G$5:$H$12,2,FALSE),0),IFERROR(VLOOKUP(G69,'Справочники'!$J$5:$K$12,2,FALSE),0)))</x:f>
      </x:c>
      <x:c r="P69" s="36"/>
    </x:row>
    <x:row r="70" ht="44" customHeight="1">
      <x:c r="A70" s="39"/>
      <x:c r="B70" s="36"/>
      <x:c r="C70" s="36"/>
      <x:c r="D70" s="42"/>
      <x:c r="E70" s="42"/>
      <x:c r="F70" s="42"/>
      <x:c r="G70" s="42"/>
      <x:c r="H70" s="42"/>
      <x:c r="I70" s="42"/>
      <x:c r="J70" s="36"/>
      <x:c r="K70" s="36"/>
      <x:c r="L70" s="36"/>
      <x:c r="M70" s="36"/>
      <x:c r="N70" s="45"/>
      <x:c r="O70" s="48" t="str">
        <x:f>IF(B70="","",AVERAGE(IFERROR(VLOOKUP(D70,'Справочники'!$A$5:$B$14,2,FALSE),0),IFERROR(VLOOKUP(E70,'Справочники'!$D$5:$E$12,2,FALSE),0),IFERROR(VLOOKUP(F70,'Справочники'!$G$5:$H$12,2,FALSE),0),IFERROR(VLOOKUP(G70,'Справочники'!$J$5:$K$12,2,FALSE),0)))</x:f>
      </x:c>
      <x:c r="P70" s="36"/>
    </x:row>
    <x:row r="71" ht="44" customHeight="1">
      <x:c r="A71" s="39"/>
      <x:c r="B71" s="36"/>
      <x:c r="C71" s="36"/>
      <x:c r="D71" s="42"/>
      <x:c r="E71" s="42"/>
      <x:c r="F71" s="42"/>
      <x:c r="G71" s="42"/>
      <x:c r="H71" s="42"/>
      <x:c r="I71" s="42"/>
      <x:c r="J71" s="36"/>
      <x:c r="K71" s="36"/>
      <x:c r="L71" s="36"/>
      <x:c r="M71" s="36"/>
      <x:c r="N71" s="45"/>
      <x:c r="O71" s="48" t="str">
        <x:f>IF(B71="","",AVERAGE(IFERROR(VLOOKUP(D71,'Справочники'!$A$5:$B$14,2,FALSE),0),IFERROR(VLOOKUP(E71,'Справочники'!$D$5:$E$12,2,FALSE),0),IFERROR(VLOOKUP(F71,'Справочники'!$G$5:$H$12,2,FALSE),0),IFERROR(VLOOKUP(G71,'Справочники'!$J$5:$K$12,2,FALSE),0)))</x:f>
      </x:c>
      <x:c r="P71" s="36"/>
    </x:row>
    <x:row r="72" ht="44" customHeight="1">
      <x:c r="A72" s="39"/>
      <x:c r="B72" s="36"/>
      <x:c r="C72" s="36"/>
      <x:c r="D72" s="42"/>
      <x:c r="E72" s="42"/>
      <x:c r="F72" s="42"/>
      <x:c r="G72" s="42"/>
      <x:c r="H72" s="42"/>
      <x:c r="I72" s="42"/>
      <x:c r="J72" s="36"/>
      <x:c r="K72" s="36"/>
      <x:c r="L72" s="36"/>
      <x:c r="M72" s="36"/>
      <x:c r="N72" s="45"/>
      <x:c r="O72" s="48" t="str">
        <x:f>IF(B72="","",AVERAGE(IFERROR(VLOOKUP(D72,'Справочники'!$A$5:$B$14,2,FALSE),0),IFERROR(VLOOKUP(E72,'Справочники'!$D$5:$E$12,2,FALSE),0),IFERROR(VLOOKUP(F72,'Справочники'!$G$5:$H$12,2,FALSE),0),IFERROR(VLOOKUP(G72,'Справочники'!$J$5:$K$12,2,FALSE),0)))</x:f>
      </x:c>
      <x:c r="P72" s="36"/>
    </x:row>
    <x:row r="73" ht="44" customHeight="1">
      <x:c r="A73" s="39"/>
      <x:c r="B73" s="36"/>
      <x:c r="C73" s="36"/>
      <x:c r="D73" s="42"/>
      <x:c r="E73" s="42"/>
      <x:c r="F73" s="42"/>
      <x:c r="G73" s="42"/>
      <x:c r="H73" s="42"/>
      <x:c r="I73" s="42"/>
      <x:c r="J73" s="36"/>
      <x:c r="K73" s="36"/>
      <x:c r="L73" s="36"/>
      <x:c r="M73" s="36"/>
      <x:c r="N73" s="45"/>
      <x:c r="O73" s="48" t="str">
        <x:f>IF(B73="","",AVERAGE(IFERROR(VLOOKUP(D73,'Справочники'!$A$5:$B$14,2,FALSE),0),IFERROR(VLOOKUP(E73,'Справочники'!$D$5:$E$12,2,FALSE),0),IFERROR(VLOOKUP(F73,'Справочники'!$G$5:$H$12,2,FALSE),0),IFERROR(VLOOKUP(G73,'Справочники'!$J$5:$K$12,2,FALSE),0)))</x:f>
      </x:c>
      <x:c r="P73" s="36"/>
    </x:row>
    <x:row r="74" ht="44" customHeight="1">
      <x:c r="A74" s="39"/>
      <x:c r="B74" s="36"/>
      <x:c r="C74" s="36"/>
      <x:c r="D74" s="42"/>
      <x:c r="E74" s="42"/>
      <x:c r="F74" s="42"/>
      <x:c r="G74" s="42"/>
      <x:c r="H74" s="42"/>
      <x:c r="I74" s="42"/>
      <x:c r="J74" s="36"/>
      <x:c r="K74" s="36"/>
      <x:c r="L74" s="36"/>
      <x:c r="M74" s="36"/>
      <x:c r="N74" s="45"/>
      <x:c r="O74" s="48" t="str">
        <x:f>IF(B74="","",AVERAGE(IFERROR(VLOOKUP(D74,'Справочники'!$A$5:$B$14,2,FALSE),0),IFERROR(VLOOKUP(E74,'Справочники'!$D$5:$E$12,2,FALSE),0),IFERROR(VLOOKUP(F74,'Справочники'!$G$5:$H$12,2,FALSE),0),IFERROR(VLOOKUP(G74,'Справочники'!$J$5:$K$12,2,FALSE),0)))</x:f>
      </x:c>
      <x:c r="P74" s="36"/>
    </x:row>
    <x:row r="75" ht="44" customHeight="1">
      <x:c r="A75" s="40"/>
      <x:c r="B75" s="37"/>
      <x:c r="C75" s="37"/>
      <x:c r="D75" s="43"/>
      <x:c r="E75" s="43"/>
      <x:c r="F75" s="43"/>
      <x:c r="G75" s="43"/>
      <x:c r="H75" s="43"/>
      <x:c r="I75" s="43"/>
      <x:c r="J75" s="37"/>
      <x:c r="K75" s="37"/>
      <x:c r="L75" s="37"/>
      <x:c r="M75" s="37"/>
      <x:c r="N75" s="46"/>
      <x:c r="O75" s="49" t="str">
        <x:f>IF(B75="","",AVERAGE(IFERROR(VLOOKUP(D75,'Справочники'!$A$5:$B$14,2,FALSE),0),IFERROR(VLOOKUP(E75,'Справочники'!$D$5:$E$12,2,FALSE),0),IFERROR(VLOOKUP(F75,'Справочники'!$G$5:$H$12,2,FALSE),0),IFERROR(VLOOKUP(G75,'Справочники'!$J$5:$K$12,2,FALSE),0)))</x:f>
      </x:c>
      <x:c r="P75" s="37"/>
    </x:row>
  </x:sheetData>
  <x:mergeCells>
    <x:mergeCell ref="A1:P1"/>
    <x:mergeCell ref="A2:P2"/>
    <x:mergeCell ref="A3:B3"/>
    <x:mergeCell ref="C3:D3"/>
    <x:mergeCell ref="E3:F3"/>
    <x:mergeCell ref="G3:H3"/>
    <x:mergeCell ref="I3:J3"/>
    <x:mergeCell ref="K3:L3"/>
    <x:mergeCell ref="M3:N3"/>
    <x:mergeCell ref="O3:P3"/>
  </x:mergeCells>
  <x:conditionalFormatting sqref="D6:D75">
    <x:cfRule type="containsText" dxfId="72" priority="1" operator="containsText" text="Готово local/mock"/>
    <x:cfRule type="expression" dxfId="73" priority="2">
      <x:formula>$D6="Готово"</x:formula>
    </x:cfRule>
    <x:cfRule type="containsText" dxfId="74" priority="3" operator="containsText" text="Review"/>
    <x:cfRule type="containsText" dxfId="75" priority="4" operator="containsText" text="Draft"/>
    <x:cfRule type="containsText" dxfId="76" priority="5" operator="containsText" text="Отсутствует"/>
    <x:cfRule type="containsText" dxfId="77" priority="6" operator="containsText" text="В работе"/>
  </x:conditionalFormatting>
  <x:conditionalFormatting sqref="E6:E75">
    <x:cfRule type="containsText" dxfId="78" priority="7" operator="containsText" text="Accepted"/>
    <x:cfRule type="containsText" dxfId="79" priority="8" operator="containsText" text="Canonical"/>
    <x:cfRule type="containsText" dxfId="80" priority="9" operator="containsText" text="Approved"/>
    <x:cfRule type="containsText" dxfId="81" priority="10" operator="containsText" text="Review"/>
    <x:cfRule type="containsText" dxfId="82" priority="11" operator="containsText" text="Draft"/>
    <x:cfRule type="containsText" dxfId="83" priority="12" operator="containsText" text="Отсутствует"/>
  </x:conditionalFormatting>
  <x:conditionalFormatting sqref="F6:F75">
    <x:cfRule type="expression" dxfId="84" priority="13">
      <x:formula>$F6="Production"</x:formula>
    </x:cfRule>
    <x:cfRule type="expression" dxfId="85" priority="14">
      <x:formula>$F6="Local/mock"</x:formula>
    </x:cfRule>
    <x:cfRule type="expression" dxfId="86" priority="15">
      <x:formula>$F6="Pure domain"</x:formula>
    </x:cfRule>
    <x:cfRule type="expression" dxfId="87" priority="16">
      <x:formula>$F6="Отсутствует"</x:formula>
    </x:cfRule>
    <x:cfRule type="expression" dxfId="88" priority="17">
      <x:formula>$F6="Gated"</x:formula>
    </x:cfRule>
  </x:conditionalFormatting>
  <x:conditionalFormatting sqref="G6:G75">
    <x:cfRule type="containsText" dxfId="89" priority="18" operator="containsText" text="Текущие зелёные"/>
    <x:cfRule type="containsText" dxfId="90" priority="19" operator="containsText" text="Исторические зелёные"/>
    <x:cfRule type="containsText" dxfId="91" priority="20" operator="containsText" text="Device pending"/>
    <x:cfRule type="containsText" dxfId="92" priority="21" operator="containsText" text="Не запускались"/>
  </x:conditionalFormatting>
  <x:conditionalFormatting sqref="I6:I75">
    <x:cfRule type="containsText" dxfId="93" priority="22" operator="containsText" text="P0"/>
    <x:cfRule type="containsText" dxfId="94" priority="23" operator="containsText" text="P1"/>
    <x:cfRule type="containsText" dxfId="95" priority="24" operator="containsText" text="P2"/>
  </x:conditionalFormatting>
  <x:conditionalFormatting sqref="O6:O75">
    <x:cfRule type="dataBar" priority="25">
      <x:dataBar>
        <x:cfvo type="min"/>
        <x:cfvo type="max"/>
        <x:color rgb="FF2F6B5C"/>
      </x:dataBar>
      <x:extLst>
        <x:ext xmlns:x14="http://schemas.microsoft.com/office/spreadsheetml/2009/9/main" uri="{B025F937-C7B1-47D3-B67F-A62EFF666E3E}">
          <x14:id>{B3ED3B0A-D765-D76F-BFCB-0E706155071E}</x14:id>
        </x:ext>
      </x:extLst>
    </x:cfRule>
  </x:conditionalFormatting>
  <x:dataValidations count="5">
    <x:dataValidation type="list" sqref="D6:D75">
      <x:formula1>'Справочники'!$A$5:$A$14</x:formula1>
    </x:dataValidation>
    <x:dataValidation type="list" sqref="E6:E75">
      <x:formula1>'Справочники'!$D$5:$D$12</x:formula1>
    </x:dataValidation>
    <x:dataValidation type="list" sqref="F6:F75">
      <x:formula1>'Справочники'!$G$5:$G$12</x:formula1>
    </x:dataValidation>
    <x:dataValidation type="list" sqref="G6:G75">
      <x:formula1>'Справочники'!$J$5:$J$12</x:formula1>
    </x:dataValidation>
    <x:dataValidation type="list" sqref="I6:I75">
      <x:formula1>'Справочники'!$M$5:$M$9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733953f189541fb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5" id="{B3ED3B0A-D765-D76F-BFCB-0E706155071E}">
            <x14:dataBar gradient="1">
              <x14:cfvo type="min"/>
              <x14:cfvo type="max"/>
              <x14:fillColor rgb="FF2F6B5C"/>
            </x14:dataBar>
          </x14:cfRule>
          <xm:sqref>O6:O75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1" hidden="0" customWidth="1"/>
    <x:col min="3" max="3" width="20" hidden="0" customWidth="1"/>
    <x:col min="4" max="4" width="18" hidden="0" customWidth="1"/>
    <x:col min="5" max="5" width="20" hidden="0" customWidth="1"/>
    <x:col min="6" max="6" width="16" hidden="0" customWidth="1"/>
    <x:col min="7" max="7" width="20" hidden="0" customWidth="1"/>
    <x:col min="8" max="8" width="25" hidden="0" customWidth="1"/>
    <x:col min="9" max="9" width="11" hidden="0" customWidth="1"/>
    <x:col min="10" max="10" width="40" hidden="0" customWidth="1"/>
    <x:col min="11" max="11" width="28" hidden="0" customWidth="1"/>
    <x:col min="12" max="12" width="20" hidden="0" customWidth="1"/>
    <x:col min="13" max="13" width="48" hidden="0" customWidth="1"/>
    <x:col min="14" max="14" width="14" hidden="0" customWidth="1"/>
    <x:col min="15" max="15" width="13" hidden="0" customWidth="1"/>
    <x:col min="16" max="16" width="34" hidden="0" customWidth="1"/>
  </x:cols>
  <x:sheetData>
    <x:row r="1" ht="38" customHeight="1">
      <x:c r="A1" s="3" t="str">
        <x:v>AI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2" customHeight="1">
      <x:c r="A2" s="7" t="str">
        <x:v>Product layer · Local provider-neutral foundation and gated production AI.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3">
      <x:c r="A3" s="12" t="e">
        <x:f>HYPERLINK("#'Паук'!A1","← Вернуться к пауку")</x:f>
        <x:v>HYPERLINK is not implemented. linkLocation=#'Паук'!A1, friendlyName=← Вернуться к пауку</x:v>
      </x:c>
      <x:c r="B3" s="12"/>
      <x:c r="C3" t="str">
        <x:v>Прогресс</x:v>
      </x:c>
      <x:c r="E3" s="15" t="n">
        <x:f>IFERROR(SUM(O6:O75)/COUNTA(B6:B75),0)</x:f>
        <x:v>0.5008333333333334</x:v>
      </x:c>
      <x:c r="F3" s="15"/>
      <x:c r="G3" t="str">
        <x:v>Открытые P0/P1</x:v>
      </x:c>
      <x:c r="I3" s="18" t="n">
        <x:f>COUNTIFS(I6:I75,"P0",O6:O75,"&lt;1")+COUNTIFS(I6:I75,"P1",O6:O75,"&lt;1")</x:f>
        <x:v>10</x:v>
      </x:c>
      <x:c r="J3" s="18"/>
      <x:c r="K3" t="str">
        <x:v>Runtime отсутствует</x:v>
      </x:c>
      <x:c r="M3" s="21" t="n">
        <x:f>COUNTIF(F6:F75,"Отсутствует")</x:f>
        <x:v>7</x:v>
      </x:c>
      <x:c r="N3" s="21"/>
      <x:c r="O3" s="24" t="e">
        <x:f>HYPERLINK("#'Реестр файлов'!A1","Реестр файлов →")</x:f>
        <x:v>HYPERLINK is not implemented. linkLocation=#'Реестр файлов'!A1, friendlyName=Реестр файлов →</x:v>
      </x:c>
      <x:c r="P3" s="24"/>
    </x:row>
    <x:row r="5">
      <x:c r="A5" s="27" t="str">
        <x:v>ID</x:v>
      </x:c>
      <x:c r="B5" s="27" t="str">
        <x:v>Подсистема / deliverable</x:v>
      </x:c>
      <x:c r="C5" s="27" t="str">
        <x:v>Тип</x:v>
      </x:c>
      <x:c r="D5" s="27" t="str">
        <x:v>Артефакт</x:v>
      </x:c>
      <x:c r="E5" s="27" t="str">
        <x:v>Документация</x:v>
      </x:c>
      <x:c r="F5" s="27" t="str">
        <x:v>Runtime</x:v>
      </x:c>
      <x:c r="G5" s="27" t="str">
        <x:v>Проверки</x:v>
      </x:c>
      <x:c r="H5" s="27" t="str">
        <x:v>Gate / authority</x:v>
      </x:c>
      <x:c r="I5" s="27" t="str">
        <x:v>Приоритет</x:v>
      </x:c>
      <x:c r="J5" s="27" t="str">
        <x:v>Следующее действие</x:v>
      </x:c>
      <x:c r="K5" s="27" t="str">
        <x:v>Блокер</x:v>
      </x:c>
      <x:c r="L5" s="27" t="str">
        <x:v>Owner</x:v>
      </x:c>
      <x:c r="M5" s="27" t="str">
        <x:v>Источник / путь</x:v>
      </x:c>
      <x:c r="N5" s="27" t="str">
        <x:v>Обновлено</x:v>
      </x:c>
      <x:c r="O5" s="27" t="str">
        <x:v>Готовность</x:v>
      </x:c>
      <x:c r="P5" s="27" t="str">
        <x:v>Комментарий</x:v>
      </x:c>
    </x:row>
    <x:row r="6" ht="44" customHeight="1">
      <x:c r="A6" s="38" t="str">
        <x:v>AI-00</x:v>
      </x:c>
      <x:c r="B6" s="35" t="str">
        <x:v>ADR 0018</x:v>
      </x:c>
      <x:c r="C6" s="35" t="str">
        <x:v>Architecture</x:v>
      </x:c>
      <x:c r="D6" s="41" t="str">
        <x:v>Готово</x:v>
      </x:c>
      <x:c r="E6" s="41" t="str">
        <x:v>Accepted</x:v>
      </x:c>
      <x:c r="F6" s="41" t="str">
        <x:v>Не требуется</x:v>
      </x:c>
      <x:c r="G6" s="41" t="str">
        <x:v>Текущие зелёные</x:v>
      </x:c>
      <x:c r="H6" s="41" t="str">
        <x:v>Provider-neutral</x:v>
      </x:c>
      <x:c r="I6" s="41" t="str">
        <x:v>P0</x:v>
      </x:c>
      <x:c r="J6" s="35" t="str">
        <x:v>Flutter secrets forbidden</x:v>
      </x:c>
      <x:c r="K6" s="35" t="str"/>
      <x:c r="L6" s="35" t="str">
        <x:v>Architecture</x:v>
      </x:c>
      <x:c r="M6" s="35" t="str">
        <x:v>docs/adr/0018-provider-neutral-ai-assistance-capability.md</x:v>
      </x:c>
      <x:c r="N6" s="44" t="n">
        <x:v>46250</x:v>
      </x:c>
      <x:c r="O6" s="47" t="n">
        <x:f>IF(B6="","",AVERAGE(IFERROR(VLOOKUP(D6,'Справочники'!$A$5:$B$14,2,FALSE),0),IFERROR(VLOOKUP(E6,'Справочники'!$D$5:$E$12,2,FALSE),0),IFERROR(VLOOKUP(F6,'Справочники'!$G$5:$H$12,2,FALSE),0),IFERROR(VLOOKUP(G6,'Справочники'!$J$5:$K$12,2,FALSE),0)))</x:f>
        <x:v>1</x:v>
      </x:c>
      <x:c r="P6" s="35" t="str"/>
    </x:row>
    <x:row r="7" ht="44" customHeight="1">
      <x:c r="A7" s="39" t="str">
        <x:v>AI-01</x:v>
      </x:c>
      <x:c r="B7" s="36" t="str">
        <x:v>Local AI platform</x:v>
      </x:c>
      <x:c r="C7" s="36" t="str">
        <x:v>Mobile foundation</x:v>
      </x:c>
      <x:c r="D7" s="42" t="str">
        <x:v>Готово local/mock</x:v>
      </x:c>
      <x:c r="E7" s="42" t="str">
        <x:v>Approved</x:v>
      </x:c>
      <x:c r="F7" s="42" t="str">
        <x:v>Local/mock</x:v>
      </x:c>
      <x:c r="G7" s="42" t="str">
        <x:v>Исторические зелёные</x:v>
      </x:c>
      <x:c r="H7" s="42" t="str">
        <x:v>Zero metered calls</x:v>
      </x:c>
      <x:c r="I7" s="42" t="str">
        <x:v>P1</x:v>
      </x:c>
      <x:c r="J7" s="36" t="str">
        <x:v>Preserve transient/redacted contracts</x:v>
      </x:c>
      <x:c r="K7" s="36" t="str"/>
      <x:c r="L7" s="36" t="str">
        <x:v>AI Platform</x:v>
      </x:c>
      <x:c r="M7" s="36" t="str">
        <x:v>docs/product/AI_PLATFORM_LOCAL_SLICE_SPEC.md</x:v>
      </x:c>
      <x:c r="N7" s="45" t="n">
        <x:v>46250</x:v>
      </x:c>
      <x:c r="O7" s="48" t="n">
        <x:f>IF(B7="","",AVERAGE(IFERROR(VLOOKUP(D7,'Справочники'!$A$5:$B$14,2,FALSE),0),IFERROR(VLOOKUP(E7,'Справочники'!$D$5:$E$12,2,FALSE),0),IFERROR(VLOOKUP(F7,'Справочники'!$G$5:$H$12,2,FALSE),0),IFERROR(VLOOKUP(G7,'Справочники'!$J$5:$K$12,2,FALSE),0)))</x:f>
        <x:v>0.7375</x:v>
      </x:c>
      <x:c r="P7" s="36" t="str"/>
    </x:row>
    <x:row r="8" ht="44" customHeight="1">
      <x:c r="A8" s="39" t="str">
        <x:v>AI-02</x:v>
      </x:c>
      <x:c r="B8" s="36" t="str">
        <x:v>AI product strategy</x:v>
      </x:c>
      <x:c r="C8" s="36" t="str">
        <x:v>Product direction</x:v>
      </x:c>
      <x:c r="D8" s="42" t="str">
        <x:v>Готово</x:v>
      </x:c>
      <x:c r="E8" s="42" t="str">
        <x:v>Approved</x:v>
      </x:c>
      <x:c r="F8" s="42" t="str">
        <x:v>Не требуется</x:v>
      </x:c>
      <x:c r="G8" s="42" t="str">
        <x:v>Исторические зелёные</x:v>
      </x:c>
      <x:c r="H8" s="42" t="str">
        <x:v>Consumer slices</x:v>
      </x:c>
      <x:c r="I8" s="42" t="str">
        <x:v>P1</x:v>
      </x:c>
      <x:c r="J8" s="36" t="str">
        <x:v>No generic AI authority</x:v>
      </x:c>
      <x:c r="K8" s="36" t="str"/>
      <x:c r="L8" s="36" t="str">
        <x:v>Product/AI</x:v>
      </x:c>
      <x:c r="M8" s="36" t="str">
        <x:v>docs/product/AI_PRODUCT_STRATEGY.md</x:v>
      </x:c>
      <x:c r="N8" s="45" t="n">
        <x:v>46250</x:v>
      </x:c>
      <x:c r="O8" s="48" t="n">
        <x:f>IF(B8="","",AVERAGE(IFERROR(VLOOKUP(D8,'Справочники'!$A$5:$B$14,2,FALSE),0),IFERROR(VLOOKUP(E8,'Справочники'!$D$5:$E$12,2,FALSE),0),IFERROR(VLOOKUP(F8,'Справочники'!$G$5:$H$12,2,FALSE),0),IFERROR(VLOOKUP(G8,'Справочники'!$J$5:$K$12,2,FALSE),0)))</x:f>
        <x:v>0.8999999999999999</x:v>
      </x:c>
      <x:c r="P8" s="36" t="str"/>
    </x:row>
    <x:row r="9" ht="44" customHeight="1">
      <x:c r="A9" s="39" t="str">
        <x:v>AI-03</x:v>
      </x:c>
      <x:c r="B9" s="36" t="str">
        <x:v>Scenario local demo</x:v>
      </x:c>
      <x:c r="C9" s="36" t="str">
        <x:v>Consumer demo</x:v>
      </x:c>
      <x:c r="D9" s="42" t="str">
        <x:v>Готово local/mock</x:v>
      </x:c>
      <x:c r="E9" s="42" t="str">
        <x:v>Approved</x:v>
      </x:c>
      <x:c r="F9" s="42" t="str">
        <x:v>Local/mock</x:v>
      </x:c>
      <x:c r="G9" s="42" t="str">
        <x:v>Исторические зелёные</x:v>
      </x:c>
      <x:c r="H9" s="42" t="str">
        <x:v>Local demo label</x:v>
      </x:c>
      <x:c r="I9" s="42" t="str">
        <x:v>P2</x:v>
      </x:c>
      <x:c r="J9" s="36" t="str">
        <x:v>Keep hidden/optional and deterministic</x:v>
      </x:c>
      <x:c r="K9" s="36" t="str"/>
      <x:c r="L9" s="36" t="str">
        <x:v>Scenario/AI</x:v>
      </x:c>
      <x:c r="M9" s="36" t="str">
        <x:v>docs/product/SCENARIO_AI_LOCAL_MOCK_SLICE_SPEC.md</x:v>
      </x:c>
      <x:c r="N9" s="45" t="n">
        <x:v>46250</x:v>
      </x:c>
      <x:c r="O9" s="48" t="n">
        <x:f>IF(B9="","",AVERAGE(IFERROR(VLOOKUP(D9,'Справочники'!$A$5:$B$14,2,FALSE),0),IFERROR(VLOOKUP(E9,'Справочники'!$D$5:$E$12,2,FALSE),0),IFERROR(VLOOKUP(F9,'Справочники'!$G$5:$H$12,2,FALSE),0),IFERROR(VLOOKUP(G9,'Справочники'!$J$5:$K$12,2,FALSE),0)))</x:f>
        <x:v>0.7375</x:v>
      </x:c>
      <x:c r="P9" s="36" t="str"/>
    </x:row>
    <x:row r="10" ht="44" customHeight="1">
      <x:c r="A10" s="39" t="str">
        <x:v>AI-04</x:v>
      </x:c>
      <x:c r="B10" s="36" t="str">
        <x:v>Scenario production provider</x:v>
      </x:c>
      <x:c r="C10" s="36" t="str">
        <x:v>Production capability</x:v>
      </x:c>
      <x:c r="D10" s="42" t="str">
        <x:v>План</x:v>
      </x:c>
      <x:c r="E10" s="42" t="str">
        <x:v>Approved</x:v>
      </x:c>
      <x:c r="F10" s="42" t="str">
        <x:v>Отсутствует</x:v>
      </x:c>
      <x:c r="G10" s="42" t="str">
        <x:v>Не запускались</x:v>
      </x:c>
      <x:c r="H10" s="42" t="str">
        <x:v>Provider ADR + backend</x:v>
      </x:c>
      <x:c r="I10" s="42" t="str">
        <x:v>P1</x:v>
      </x:c>
      <x:c r="J10" s="36" t="str">
        <x:v>Structured output/evals/quota/fallback</x:v>
      </x:c>
      <x:c r="K10" s="36" t="str">
        <x:v>BCK-15</x:v>
      </x:c>
      <x:c r="L10" s="36" t="str">
        <x:v>AI Platform</x:v>
      </x:c>
      <x:c r="M10" s="36" t="str">
        <x:v>docs/product/SCENARIO_AI_GENERATION_SPEC.md</x:v>
      </x:c>
      <x:c r="N10" s="45"/>
      <x:c r="O10" s="48" t="n">
        <x:f>IF(B10="","",AVERAGE(IFERROR(VLOOKUP(D10,'Справочники'!$A$5:$B$14,2,FALSE),0),IFERROR(VLOOKUP(E10,'Справочники'!$D$5:$E$12,2,FALSE),0),IFERROR(VLOOKUP(F10,'Справочники'!$G$5:$H$12,2,FALSE),0),IFERROR(VLOOKUP(G10,'Справочники'!$J$5:$K$12,2,FALSE),0)))</x:f>
        <x:v>0.25</x:v>
      </x:c>
      <x:c r="P10" s="36" t="str"/>
    </x:row>
    <x:row r="11" ht="44" customHeight="1">
      <x:c r="A11" s="39" t="str">
        <x:v>AI-05</x:v>
      </x:c>
      <x:c r="B11" s="36" t="str">
        <x:v>BCK-15 AI backend spec</x:v>
      </x:c>
      <x:c r="C11" s="36" t="str">
        <x:v>Backend spec</x:v>
      </x:c>
      <x:c r="D11" s="42" t="str">
        <x:v>План</x:v>
      </x:c>
      <x:c r="E11" s="42" t="str">
        <x:v>Отсутствует</x:v>
      </x:c>
      <x:c r="F11" s="42" t="str">
        <x:v>Отсутствует</x:v>
      </x:c>
      <x:c r="G11" s="42" t="str">
        <x:v>Не запускались</x:v>
      </x:c>
      <x:c r="H11" s="42" t="str">
        <x:v>Vendor/security/cost</x:v>
      </x:c>
      <x:c r="I11" s="42" t="str">
        <x:v>P1</x:v>
      </x:c>
      <x:c r="J11" s="36" t="str">
        <x:v>Create provider-neutral proxy spec</x:v>
      </x:c>
      <x:c r="K11" s="36" t="str">
        <x:v>BCK-03/04/05/06</x:v>
      </x:c>
      <x:c r="L11" s="36" t="str">
        <x:v>AI Platform</x:v>
      </x:c>
      <x:c r="M11" s="36" t="str">
        <x:v>docs/product/AI_BACKEND_SPEC.md</x:v>
      </x:c>
      <x:c r="N11" s="45"/>
      <x:c r="O11" s="48" t="n">
        <x:f>IF(B11="","",AVERAGE(IFERROR(VLOOKUP(D11,'Справочники'!$A$5:$B$14,2,FALSE),0),IFERROR(VLOOKUP(E11,'Справочники'!$D$5:$E$12,2,FALSE),0),IFERROR(VLOOKUP(F11,'Справочники'!$G$5:$H$12,2,FALSE),0),IFERROR(VLOOKUP(G11,'Справочники'!$J$5:$K$12,2,FALSE),0)))</x:f>
        <x:v>0.025</x:v>
      </x:c>
      <x:c r="P11" s="36" t="str"/>
    </x:row>
    <x:row r="12" ht="44" customHeight="1">
      <x:c r="A12" s="39" t="str">
        <x:v>AI-06</x:v>
      </x:c>
      <x:c r="B12" s="36" t="str">
        <x:v>Backend proxy / secrets</x:v>
      </x:c>
      <x:c r="C12" s="36" t="str">
        <x:v>Backend runtime</x:v>
      </x:c>
      <x:c r="D12" s="42" t="str">
        <x:v>Отсутствует</x:v>
      </x:c>
      <x:c r="E12" s="42" t="str">
        <x:v>Draft</x:v>
      </x:c>
      <x:c r="F12" s="42" t="str">
        <x:v>Отсутствует</x:v>
      </x:c>
      <x:c r="G12" s="42" t="str">
        <x:v>Не запускались</x:v>
      </x:c>
      <x:c r="H12" s="42" t="str">
        <x:v>R9</x:v>
      </x:c>
      <x:c r="I12" s="42" t="str">
        <x:v>P1</x:v>
      </x:c>
      <x:c r="J12" s="36" t="str">
        <x:v>Server-only secrets and provider calls</x:v>
      </x:c>
      <x:c r="K12" s="36" t="str">
        <x:v>Backend absent</x:v>
      </x:c>
      <x:c r="L12" s="36" t="str">
        <x:v>AI Platform</x:v>
      </x:c>
      <x:c r="M12" s="36" t="str">
        <x:v>apps/backend/src/ai</x:v>
      </x:c>
      <x:c r="N12" s="45"/>
      <x:c r="O12" s="48" t="n">
        <x:f>IF(B12="","",AVERAGE(IFERROR(VLOOKUP(D12,'Справочники'!$A$5:$B$14,2,FALSE),0),IFERROR(VLOOKUP(E12,'Справочники'!$D$5:$E$12,2,FALSE),0),IFERROR(VLOOKUP(F12,'Справочники'!$G$5:$H$12,2,FALSE),0),IFERROR(VLOOKUP(G12,'Справочники'!$J$5:$K$12,2,FALSE),0)))</x:f>
        <x:v>0.0625</x:v>
      </x:c>
      <x:c r="P12" s="36" t="str"/>
    </x:row>
    <x:row r="13" ht="44" customHeight="1">
      <x:c r="A13" s="39" t="str">
        <x:v>AI-07</x:v>
      </x:c>
      <x:c r="B13" s="36" t="str">
        <x:v>Privacy / redaction</x:v>
      </x:c>
      <x:c r="C13" s="36" t="str">
        <x:v>Safety control</x:v>
      </x:c>
      <x:c r="D13" s="42" t="str">
        <x:v>Готово local/mock</x:v>
      </x:c>
      <x:c r="E13" s="42" t="str">
        <x:v>Approved</x:v>
      </x:c>
      <x:c r="F13" s="42" t="str">
        <x:v>Local/mock</x:v>
      </x:c>
      <x:c r="G13" s="42" t="str">
        <x:v>Исторические зелёные</x:v>
      </x:c>
      <x:c r="H13" s="42" t="str">
        <x:v>Production legal review</x:v>
      </x:c>
      <x:c r="I13" s="42" t="str">
        <x:v>P0</x:v>
      </x:c>
      <x:c r="J13" s="36" t="str">
        <x:v>Extend allowlists per consumer</x:v>
      </x:c>
      <x:c r="K13" s="36" t="str">
        <x:v>BCK-04</x:v>
      </x:c>
      <x:c r="L13" s="36" t="str">
        <x:v>AI/Security</x:v>
      </x:c>
      <x:c r="M13" s="36" t="str">
        <x:v>docs/product/AI_PLATFORM_LOCAL_SLICE_SPEC.md</x:v>
      </x:c>
      <x:c r="N13" s="45" t="n">
        <x:v>46250</x:v>
      </x:c>
      <x:c r="O13" s="48" t="n">
        <x:f>IF(B13="","",AVERAGE(IFERROR(VLOOKUP(D13,'Справочники'!$A$5:$B$14,2,FALSE),0),IFERROR(VLOOKUP(E13,'Справочники'!$D$5:$E$12,2,FALSE),0),IFERROR(VLOOKUP(F13,'Справочники'!$G$5:$H$12,2,FALSE),0),IFERROR(VLOOKUP(G13,'Справочники'!$J$5:$K$12,2,FALSE),0)))</x:f>
        <x:v>0.7375</x:v>
      </x:c>
      <x:c r="P13" s="36" t="str"/>
    </x:row>
    <x:row r="14" ht="44" customHeight="1">
      <x:c r="A14" s="39" t="str">
        <x:v>AI-08</x:v>
      </x:c>
      <x:c r="B14" s="36" t="str">
        <x:v>Quota / cost ledger</x:v>
      </x:c>
      <x:c r="C14" s="36" t="str">
        <x:v>Operational control</x:v>
      </x:c>
      <x:c r="D14" s="42" t="str">
        <x:v>Частично</x:v>
      </x:c>
      <x:c r="E14" s="42" t="str">
        <x:v>Approved</x:v>
      </x:c>
      <x:c r="F14" s="42" t="str">
        <x:v>Local/mock</x:v>
      </x:c>
      <x:c r="G14" s="42" t="str">
        <x:v>Частично</x:v>
      </x:c>
      <x:c r="H14" s="42" t="str">
        <x:v>Authoritative backend required</x:v>
      </x:c>
      <x:c r="I14" s="42" t="str">
        <x:v>P1</x:v>
      </x:c>
      <x:c r="J14" s="36" t="str">
        <x:v>Backend session/account quotas and budgets</x:v>
      </x:c>
      <x:c r="K14" s="36" t="str">
        <x:v>BCK-15/BCK-05</x:v>
      </x:c>
      <x:c r="L14" s="36" t="str">
        <x:v>AI Platform</x:v>
      </x:c>
      <x:c r="M14" s="36" t="str">
        <x:v>docs/product/AI_PRODUCT_STRATEGY.md</x:v>
      </x:c>
      <x:c r="N14" s="45" t="n">
        <x:v>46250</x:v>
      </x:c>
      <x:c r="O14" s="48" t="n">
        <x:f>IF(B14="","",AVERAGE(IFERROR(VLOOKUP(D14,'Справочники'!$A$5:$B$14,2,FALSE),0),IFERROR(VLOOKUP(E14,'Справочники'!$D$5:$E$12,2,FALSE),0),IFERROR(VLOOKUP(F14,'Справочники'!$G$5:$H$12,2,FALSE),0),IFERROR(VLOOKUP(G14,'Справочники'!$J$5:$K$12,2,FALSE),0)))</x:f>
        <x:v>0.5875</x:v>
      </x:c>
      <x:c r="P14" s="36" t="str"/>
    </x:row>
    <x:row r="15" ht="44" customHeight="1">
      <x:c r="A15" s="39" t="str">
        <x:v>AI-09</x:v>
      </x:c>
      <x:c r="B15" s="36" t="str">
        <x:v>Evals / observability</x:v>
      </x:c>
      <x:c r="C15" s="36" t="str">
        <x:v>Quality control</x:v>
      </x:c>
      <x:c r="D15" s="42" t="str">
        <x:v>План</x:v>
      </x:c>
      <x:c r="E15" s="42" t="str">
        <x:v>Approved</x:v>
      </x:c>
      <x:c r="F15" s="42" t="str">
        <x:v>Отсутствует</x:v>
      </x:c>
      <x:c r="G15" s="42" t="str">
        <x:v>Не запускались</x:v>
      </x:c>
      <x:c r="H15" s="42" t="str">
        <x:v>Before provider rollout</x:v>
      </x:c>
      <x:c r="I15" s="42" t="str">
        <x:v>P1</x:v>
      </x:c>
      <x:c r="J15" s="36" t="str">
        <x:v>Fixtures/thresholds/drift/rollback</x:v>
      </x:c>
      <x:c r="K15" s="36" t="str">
        <x:v>Provider selection</x:v>
      </x:c>
      <x:c r="L15" s="36" t="str">
        <x:v>AI QA</x:v>
      </x:c>
      <x:c r="M15" s="36" t="str">
        <x:v>docs/product/SCENARIO_AI_GENERATION_SPEC.md</x:v>
      </x:c>
      <x:c r="N15" s="45"/>
      <x:c r="O15" s="48" t="n">
        <x:f>IF(B15="","",AVERAGE(IFERROR(VLOOKUP(D15,'Справочники'!$A$5:$B$14,2,FALSE),0),IFERROR(VLOOKUP(E15,'Справочники'!$D$5:$E$12,2,FALSE),0),IFERROR(VLOOKUP(F15,'Справочники'!$G$5:$H$12,2,FALSE),0),IFERROR(VLOOKUP(G15,'Справочники'!$J$5:$K$12,2,FALSE),0)))</x:f>
        <x:v>0.25</x:v>
      </x:c>
      <x:c r="P15" s="36" t="str"/>
    </x:row>
    <x:row r="16" ht="44" customHeight="1">
      <x:c r="A16" s="39" t="str">
        <x:v>AI-10</x:v>
      </x:c>
      <x:c r="B16" s="36" t="str">
        <x:v>Provider selection</x:v>
      </x:c>
      <x:c r="C16" s="36" t="str">
        <x:v>Open decision</x:v>
      </x:c>
      <x:c r="D16" s="42" t="str">
        <x:v>План</x:v>
      </x:c>
      <x:c r="E16" s="42" t="str">
        <x:v>Draft</x:v>
      </x:c>
      <x:c r="F16" s="42" t="str">
        <x:v>Отсутствует</x:v>
      </x:c>
      <x:c r="G16" s="42" t="str">
        <x:v>Не запускались</x:v>
      </x:c>
      <x:c r="H16" s="42" t="str">
        <x:v>Vendor/security/cost approval</x:v>
      </x:c>
      <x:c r="I16" s="42" t="str">
        <x:v>P2</x:v>
      </x:c>
      <x:c r="J16" s="36" t="str">
        <x:v>Compare privacy/cost/reliability</x:v>
      </x:c>
      <x:c r="K16" s="36" t="str">
        <x:v>No provider ADR</x:v>
      </x:c>
      <x:c r="L16" s="36" t="str">
        <x:v>Architecture/AI</x:v>
      </x:c>
      <x:c r="M16" s="36" t="str">
        <x:v>docs/product/AI_PRODUCT_STRATEGY.md</x:v>
      </x:c>
      <x:c r="N16" s="45"/>
      <x:c r="O16" s="48" t="n">
        <x:f>IF(B16="","",AVERAGE(IFERROR(VLOOKUP(D16,'Справочники'!$A$5:$B$14,2,FALSE),0),IFERROR(VLOOKUP(E16,'Справочники'!$D$5:$E$12,2,FALSE),0),IFERROR(VLOOKUP(F16,'Справочники'!$G$5:$H$12,2,FALSE),0),IFERROR(VLOOKUP(G16,'Справочники'!$J$5:$K$12,2,FALSE),0)))</x:f>
        <x:v>0.0875</x:v>
      </x:c>
      <x:c r="P16" s="36" t="str"/>
    </x:row>
    <x:row r="17" ht="44" customHeight="1">
      <x:c r="A17" s="39" t="str">
        <x:v>SCN-AI-00</x:v>
      </x:c>
      <x:c r="B17" s="36" t="str">
        <x:v>Scenario AI product contract</x:v>
      </x:c>
      <x:c r="C17" s="36" t="str">
        <x:v>Product contract</x:v>
      </x:c>
      <x:c r="D17" s="42" t="str">
        <x:v>Готово</x:v>
      </x:c>
      <x:c r="E17" s="42" t="str">
        <x:v>Approved</x:v>
      </x:c>
      <x:c r="F17" s="42" t="str">
        <x:v>Не требуется</x:v>
      </x:c>
      <x:c r="G17" s="42" t="str">
        <x:v>Исторические зелёные</x:v>
      </x:c>
      <x:c r="H17" s="42" t="str">
        <x:v>Product direction</x:v>
      </x:c>
      <x:c r="I17" s="42" t="str">
        <x:v>P1</x:v>
      </x:c>
      <x:c r="J17" s="36" t="str">
        <x:v>Consumer runtime remains separate</x:v>
      </x:c>
      <x:c r="K17" s="36" t="str"/>
      <x:c r="L17" s="36" t="str">
        <x:v>Product / AI</x:v>
      </x:c>
      <x:c r="M17" s="36" t="str">
        <x:v>docs/product/SCENARIO_AI_GENERATION_SPEC.md</x:v>
      </x:c>
      <x:c r="N17" s="45" t="n">
        <x:v>46250.5</x:v>
      </x:c>
      <x:c r="O17" s="48" t="n">
        <x:f>IF(B17="","",AVERAGE(IFERROR(VLOOKUP(D17,'Справочники'!$A$5:$B$14,2,FALSE),0),IFERROR(VLOOKUP(E17,'Справочники'!$D$5:$E$12,2,FALSE),0),IFERROR(VLOOKUP(F17,'Справочники'!$G$5:$H$12,2,FALSE),0),IFERROR(VLOOKUP(G17,'Справочники'!$J$5:$K$12,2,FALSE),0)))</x:f>
        <x:v>0.8999999999999999</x:v>
      </x:c>
      <x:c r="P17" s="36" t="str"/>
    </x:row>
    <x:row r="18" ht="44" customHeight="1">
      <x:c r="A18" s="39" t="str">
        <x:v>SCN-AI-01</x:v>
      </x:c>
      <x:c r="B18" s="36" t="str">
        <x:v>Scenario local demo</x:v>
      </x:c>
      <x:c r="C18" s="36" t="str">
        <x:v>Local/mock slice</x:v>
      </x:c>
      <x:c r="D18" s="42" t="str">
        <x:v>Готово local/mock</x:v>
      </x:c>
      <x:c r="E18" s="42" t="str">
        <x:v>Approved</x:v>
      </x:c>
      <x:c r="F18" s="42" t="str">
        <x:v>Local/mock</x:v>
      </x:c>
      <x:c r="G18" s="42" t="str">
        <x:v>Исторические зелёные</x:v>
      </x:c>
      <x:c r="H18" s="42" t="str">
        <x:v>Done</x:v>
      </x:c>
      <x:c r="I18" s="42" t="str">
        <x:v>P2</x:v>
      </x:c>
      <x:c r="J18" s="36" t="str">
        <x:v>Keep hidden, optional, deterministic and labeled</x:v>
      </x:c>
      <x:c r="K18" s="36" t="str">
        <x:v>No external provider</x:v>
      </x:c>
      <x:c r="L18" s="36" t="str">
        <x:v>Scenario / AI</x:v>
      </x:c>
      <x:c r="M18" s="36" t="str">
        <x:v>docs/product/SCENARIO_AI_LOCAL_MOCK_SLICE_SPEC.md</x:v>
      </x:c>
      <x:c r="N18" s="45" t="n">
        <x:v>46250.5</x:v>
      </x:c>
      <x:c r="O18" s="48" t="n">
        <x:f>IF(B18="","",AVERAGE(IFERROR(VLOOKUP(D18,'Справочники'!$A$5:$B$14,2,FALSE),0),IFERROR(VLOOKUP(E18,'Справочники'!$D$5:$E$12,2,FALSE),0),IFERROR(VLOOKUP(F18,'Справочники'!$G$5:$H$12,2,FALSE),0),IFERROR(VLOOKUP(G18,'Справочники'!$J$5:$K$12,2,FALSE),0)))</x:f>
        <x:v>0.7375</x:v>
      </x:c>
      <x:c r="P18" s="36" t="str"/>
    </x:row>
    <x:row r="19" ht="44" customHeight="1">
      <x:c r="A19" s="39" t="str">
        <x:v>SCN-AI-02</x:v>
      </x:c>
      <x:c r="B19" s="36" t="str">
        <x:v>Production AI provider</x:v>
      </x:c>
      <x:c r="C19" s="36" t="str">
        <x:v>Required production slice</x:v>
      </x:c>
      <x:c r="D19" s="42" t="str">
        <x:v>План</x:v>
      </x:c>
      <x:c r="E19" s="42" t="str">
        <x:v>Approved</x:v>
      </x:c>
      <x:c r="F19" s="42" t="str">
        <x:v>Отсутствует</x:v>
      </x:c>
      <x:c r="G19" s="42" t="str">
        <x:v>Не запускались</x:v>
      </x:c>
      <x:c r="H19" s="42" t="str">
        <x:v>Provider ADR + BCK-15</x:v>
      </x:c>
      <x:c r="I19" s="42" t="str">
        <x:v>P1</x:v>
      </x:c>
      <x:c r="J19" s="36" t="str">
        <x:v>Backend proxy/secrets/structured output/evals</x:v>
      </x:c>
      <x:c r="K19" s="36" t="str">
        <x:v>No provider ADR/backend</x:v>
      </x:c>
      <x:c r="L19" s="36" t="str">
        <x:v>AI Platform</x:v>
      </x:c>
      <x:c r="M19" s="36" t="str">
        <x:v>docs/architecture/LAUNCH_STATUS.md</x:v>
      </x:c>
      <x:c r="N19" s="45" t="n">
        <x:v>46250.5</x:v>
      </x:c>
      <x:c r="O19" s="48" t="n">
        <x:f>IF(B19="","",AVERAGE(IFERROR(VLOOKUP(D19,'Справочники'!$A$5:$B$14,2,FALSE),0),IFERROR(VLOOKUP(E19,'Справочники'!$D$5:$E$12,2,FALSE),0),IFERROR(VLOOKUP(F19,'Справочники'!$G$5:$H$12,2,FALSE),0),IFERROR(VLOOKUP(G19,'Справочники'!$J$5:$K$12,2,FALSE),0)))</x:f>
        <x:v>0.25</x:v>
      </x:c>
      <x:c r="P19" s="36" t="str"/>
    </x:row>
    <x:row r="20" ht="44" customHeight="1">
      <x:c r="A20" s="39" t="str">
        <x:v>SCN-AI-03/04/05</x:v>
      </x:c>
      <x:c r="B20" s="36" t="str">
        <x:v>Connected planning / live tools / quality rollout</x:v>
      </x:c>
      <x:c r="C20" s="36" t="str">
        <x:v>Gated AI program</x:v>
      </x:c>
      <x:c r="D20" s="42" t="str">
        <x:v>План</x:v>
      </x:c>
      <x:c r="E20" s="42" t="str">
        <x:v>Approved</x:v>
      </x:c>
      <x:c r="F20" s="42" t="str">
        <x:v>Отсутствует</x:v>
      </x:c>
      <x:c r="G20" s="42" t="str">
        <x:v>Не запускались</x:v>
      </x:c>
      <x:c r="H20" s="42" t="str">
        <x:v>Post-stabilization provider gates</x:v>
      </x:c>
      <x:c r="I20" s="42" t="str">
        <x:v>P2</x:v>
      </x:c>
      <x:c r="J20" s="36" t="str">
        <x:v>Separate evidence-backed slices</x:v>
      </x:c>
      <x:c r="K20" s="36" t="str">
        <x:v>Routing/availability/provider gates</x:v>
      </x:c>
      <x:c r="L20" s="36" t="str">
        <x:v>AI / Scenario</x:v>
      </x:c>
      <x:c r="M20" s="36" t="str">
        <x:v>docs/product/SCENARIO_CONNECTED_PLANNING_SPEC.md</x:v>
      </x:c>
      <x:c r="N20" s="45" t="n">
        <x:v>46250.5</x:v>
      </x:c>
      <x:c r="O20" s="48" t="n">
        <x:f>IF(B20="","",AVERAGE(IFERROR(VLOOKUP(D20,'Справочники'!$A$5:$B$14,2,FALSE),0),IFERROR(VLOOKUP(E20,'Справочники'!$D$5:$E$12,2,FALSE),0),IFERROR(VLOOKUP(F20,'Справочники'!$G$5:$H$12,2,FALSE),0),IFERROR(VLOOKUP(G20,'Справочники'!$J$5:$K$12,2,FALSE),0)))</x:f>
        <x:v>0.25</x:v>
      </x:c>
      <x:c r="P20" s="36" t="str"/>
    </x:row>
    <x:row r="21" ht="44" customHeight="1">
      <x:c r="A21" s="39"/>
      <x:c r="B21" s="36"/>
      <x:c r="C21" s="36"/>
      <x:c r="D21" s="42"/>
      <x:c r="E21" s="42"/>
      <x:c r="F21" s="42"/>
      <x:c r="G21" s="42"/>
      <x:c r="H21" s="42"/>
      <x:c r="I21" s="42"/>
      <x:c r="J21" s="36"/>
      <x:c r="K21" s="36"/>
      <x:c r="L21" s="36"/>
      <x:c r="M21" s="36"/>
      <x:c r="N21" s="45"/>
      <x:c r="O21" s="48" t="str">
        <x:f>IF(B21="","",AVERAGE(IFERROR(VLOOKUP(D21,'Справочники'!$A$5:$B$14,2,FALSE),0),IFERROR(VLOOKUP(E21,'Справочники'!$D$5:$E$12,2,FALSE),0),IFERROR(VLOOKUP(F21,'Справочники'!$G$5:$H$12,2,FALSE),0),IFERROR(VLOOKUP(G21,'Справочники'!$J$5:$K$12,2,FALSE),0)))</x:f>
      </x:c>
      <x:c r="P21" s="36"/>
    </x:row>
    <x:row r="22" ht="44" customHeight="1">
      <x:c r="A22" s="39"/>
      <x:c r="B22" s="36"/>
      <x:c r="C22" s="36"/>
      <x:c r="D22" s="42"/>
      <x:c r="E22" s="42"/>
      <x:c r="F22" s="42"/>
      <x:c r="G22" s="42"/>
      <x:c r="H22" s="42"/>
      <x:c r="I22" s="42"/>
      <x:c r="J22" s="36"/>
      <x:c r="K22" s="36"/>
      <x:c r="L22" s="36"/>
      <x:c r="M22" s="36"/>
      <x:c r="N22" s="45"/>
      <x:c r="O22" s="48" t="str">
        <x:f>IF(B22="","",AVERAGE(IFERROR(VLOOKUP(D22,'Справочники'!$A$5:$B$14,2,FALSE),0),IFERROR(VLOOKUP(E22,'Справочники'!$D$5:$E$12,2,FALSE),0),IFERROR(VLOOKUP(F22,'Справочники'!$G$5:$H$12,2,FALSE),0),IFERROR(VLOOKUP(G22,'Справочники'!$J$5:$K$12,2,FALSE),0)))</x:f>
      </x:c>
      <x:c r="P22" s="36"/>
    </x:row>
    <x:row r="23" ht="44" customHeight="1">
      <x:c r="A23" s="39"/>
      <x:c r="B23" s="36"/>
      <x:c r="C23" s="36"/>
      <x:c r="D23" s="42"/>
      <x:c r="E23" s="42"/>
      <x:c r="F23" s="42"/>
      <x:c r="G23" s="42"/>
      <x:c r="H23" s="42"/>
      <x:c r="I23" s="42"/>
      <x:c r="J23" s="36"/>
      <x:c r="K23" s="36"/>
      <x:c r="L23" s="36"/>
      <x:c r="M23" s="36"/>
      <x:c r="N23" s="45"/>
      <x:c r="O23" s="48" t="str">
        <x:f>IF(B23="","",AVERAGE(IFERROR(VLOOKUP(D23,'Справочники'!$A$5:$B$14,2,FALSE),0),IFERROR(VLOOKUP(E23,'Справочники'!$D$5:$E$12,2,FALSE),0),IFERROR(VLOOKUP(F23,'Справочники'!$G$5:$H$12,2,FALSE),0),IFERROR(VLOOKUP(G23,'Справочники'!$J$5:$K$12,2,FALSE),0)))</x:f>
      </x:c>
      <x:c r="P23" s="36"/>
    </x:row>
    <x:row r="24" ht="44" customHeight="1">
      <x:c r="A24" s="39"/>
      <x:c r="B24" s="36"/>
      <x:c r="C24" s="36"/>
      <x:c r="D24" s="42"/>
      <x:c r="E24" s="42"/>
      <x:c r="F24" s="42"/>
      <x:c r="G24" s="42"/>
      <x:c r="H24" s="42"/>
      <x:c r="I24" s="42"/>
      <x:c r="J24" s="36"/>
      <x:c r="K24" s="36"/>
      <x:c r="L24" s="36"/>
      <x:c r="M24" s="36"/>
      <x:c r="N24" s="45"/>
      <x:c r="O24" s="48" t="str">
        <x:f>IF(B24="","",AVERAGE(IFERROR(VLOOKUP(D24,'Справочники'!$A$5:$B$14,2,FALSE),0),IFERROR(VLOOKUP(E24,'Справочники'!$D$5:$E$12,2,FALSE),0),IFERROR(VLOOKUP(F24,'Справочники'!$G$5:$H$12,2,FALSE),0),IFERROR(VLOOKUP(G24,'Справочники'!$J$5:$K$12,2,FALSE),0)))</x:f>
      </x:c>
      <x:c r="P24" s="36"/>
    </x:row>
    <x:row r="25" ht="44" customHeight="1">
      <x:c r="A25" s="39"/>
      <x:c r="B25" s="36"/>
      <x:c r="C25" s="36"/>
      <x:c r="D25" s="42"/>
      <x:c r="E25" s="42"/>
      <x:c r="F25" s="42"/>
      <x:c r="G25" s="42"/>
      <x:c r="H25" s="42"/>
      <x:c r="I25" s="42"/>
      <x:c r="J25" s="36"/>
      <x:c r="K25" s="36"/>
      <x:c r="L25" s="36"/>
      <x:c r="M25" s="36"/>
      <x:c r="N25" s="45"/>
      <x:c r="O25" s="48" t="str">
        <x:f>IF(B25="","",AVERAGE(IFERROR(VLOOKUP(D25,'Справочники'!$A$5:$B$14,2,FALSE),0),IFERROR(VLOOKUP(E25,'Справочники'!$D$5:$E$12,2,FALSE),0),IFERROR(VLOOKUP(F25,'Справочники'!$G$5:$H$12,2,FALSE),0),IFERROR(VLOOKUP(G25,'Справочники'!$J$5:$K$12,2,FALSE),0)))</x:f>
      </x:c>
      <x:c r="P25" s="36"/>
    </x:row>
    <x:row r="26" ht="44" customHeight="1">
      <x:c r="A26" s="39"/>
      <x:c r="B26" s="36"/>
      <x:c r="C26" s="36"/>
      <x:c r="D26" s="42"/>
      <x:c r="E26" s="42"/>
      <x:c r="F26" s="42"/>
      <x:c r="G26" s="42"/>
      <x:c r="H26" s="42"/>
      <x:c r="I26" s="42"/>
      <x:c r="J26" s="36"/>
      <x:c r="K26" s="36"/>
      <x:c r="L26" s="36"/>
      <x:c r="M26" s="36"/>
      <x:c r="N26" s="45"/>
      <x:c r="O26" s="48" t="str">
        <x:f>IF(B26="","",AVERAGE(IFERROR(VLOOKUP(D26,'Справочники'!$A$5:$B$14,2,FALSE),0),IFERROR(VLOOKUP(E26,'Справочники'!$D$5:$E$12,2,FALSE),0),IFERROR(VLOOKUP(F26,'Справочники'!$G$5:$H$12,2,FALSE),0),IFERROR(VLOOKUP(G26,'Справочники'!$J$5:$K$12,2,FALSE),0)))</x:f>
      </x:c>
      <x:c r="P26" s="36"/>
    </x:row>
    <x:row r="27" ht="44" customHeight="1">
      <x:c r="A27" s="39"/>
      <x:c r="B27" s="36"/>
      <x:c r="C27" s="36"/>
      <x:c r="D27" s="42"/>
      <x:c r="E27" s="42"/>
      <x:c r="F27" s="42"/>
      <x:c r="G27" s="42"/>
      <x:c r="H27" s="42"/>
      <x:c r="I27" s="42"/>
      <x:c r="J27" s="36"/>
      <x:c r="K27" s="36"/>
      <x:c r="L27" s="36"/>
      <x:c r="M27" s="36"/>
      <x:c r="N27" s="45"/>
      <x:c r="O27" s="48" t="str">
        <x:f>IF(B27="","",AVERAGE(IFERROR(VLOOKUP(D27,'Справочники'!$A$5:$B$14,2,FALSE),0),IFERROR(VLOOKUP(E27,'Справочники'!$D$5:$E$12,2,FALSE),0),IFERROR(VLOOKUP(F27,'Справочники'!$G$5:$H$12,2,FALSE),0),IFERROR(VLOOKUP(G27,'Справочники'!$J$5:$K$12,2,FALSE),0)))</x:f>
      </x:c>
      <x:c r="P27" s="36"/>
    </x:row>
    <x:row r="28" ht="44" customHeight="1">
      <x:c r="A28" s="39"/>
      <x:c r="B28" s="36"/>
      <x:c r="C28" s="36"/>
      <x:c r="D28" s="42"/>
      <x:c r="E28" s="42"/>
      <x:c r="F28" s="42"/>
      <x:c r="G28" s="42"/>
      <x:c r="H28" s="42"/>
      <x:c r="I28" s="42"/>
      <x:c r="J28" s="36"/>
      <x:c r="K28" s="36"/>
      <x:c r="L28" s="36"/>
      <x:c r="M28" s="36"/>
      <x:c r="N28" s="45"/>
      <x:c r="O28" s="48" t="str">
        <x:f>IF(B28="","",AVERAGE(IFERROR(VLOOKUP(D28,'Справочники'!$A$5:$B$14,2,FALSE),0),IFERROR(VLOOKUP(E28,'Справочники'!$D$5:$E$12,2,FALSE),0),IFERROR(VLOOKUP(F28,'Справочники'!$G$5:$H$12,2,FALSE),0),IFERROR(VLOOKUP(G28,'Справочники'!$J$5:$K$12,2,FALSE),0)))</x:f>
      </x:c>
      <x:c r="P28" s="36"/>
    </x:row>
    <x:row r="29" ht="44" customHeight="1">
      <x:c r="A29" s="39"/>
      <x:c r="B29" s="36"/>
      <x:c r="C29" s="36"/>
      <x:c r="D29" s="42"/>
      <x:c r="E29" s="42"/>
      <x:c r="F29" s="42"/>
      <x:c r="G29" s="42"/>
      <x:c r="H29" s="42"/>
      <x:c r="I29" s="42"/>
      <x:c r="J29" s="36"/>
      <x:c r="K29" s="36"/>
      <x:c r="L29" s="36"/>
      <x:c r="M29" s="36"/>
      <x:c r="N29" s="45"/>
      <x:c r="O29" s="48" t="str">
        <x:f>IF(B29="","",AVERAGE(IFERROR(VLOOKUP(D29,'Справочники'!$A$5:$B$14,2,FALSE),0),IFERROR(VLOOKUP(E29,'Справочники'!$D$5:$E$12,2,FALSE),0),IFERROR(VLOOKUP(F29,'Справочники'!$G$5:$H$12,2,FALSE),0),IFERROR(VLOOKUP(G29,'Справочники'!$J$5:$K$12,2,FALSE),0)))</x:f>
      </x:c>
      <x:c r="P29" s="36"/>
    </x:row>
    <x:row r="30" ht="44" customHeight="1">
      <x:c r="A30" s="39"/>
      <x:c r="B30" s="36"/>
      <x:c r="C30" s="36"/>
      <x:c r="D30" s="42"/>
      <x:c r="E30" s="42"/>
      <x:c r="F30" s="42"/>
      <x:c r="G30" s="42"/>
      <x:c r="H30" s="42"/>
      <x:c r="I30" s="42"/>
      <x:c r="J30" s="36"/>
      <x:c r="K30" s="36"/>
      <x:c r="L30" s="36"/>
      <x:c r="M30" s="36"/>
      <x:c r="N30" s="45"/>
      <x:c r="O30" s="48" t="str">
        <x:f>IF(B30="","",AVERAGE(IFERROR(VLOOKUP(D30,'Справочники'!$A$5:$B$14,2,FALSE),0),IFERROR(VLOOKUP(E30,'Справочники'!$D$5:$E$12,2,FALSE),0),IFERROR(VLOOKUP(F30,'Справочники'!$G$5:$H$12,2,FALSE),0),IFERROR(VLOOKUP(G30,'Справочники'!$J$5:$K$12,2,FALSE),0)))</x:f>
      </x:c>
      <x:c r="P30" s="36"/>
    </x:row>
    <x:row r="31" ht="44" customHeight="1">
      <x:c r="A31" s="39"/>
      <x:c r="B31" s="36"/>
      <x:c r="C31" s="36"/>
      <x:c r="D31" s="42"/>
      <x:c r="E31" s="42"/>
      <x:c r="F31" s="42"/>
      <x:c r="G31" s="42"/>
      <x:c r="H31" s="42"/>
      <x:c r="I31" s="42"/>
      <x:c r="J31" s="36"/>
      <x:c r="K31" s="36"/>
      <x:c r="L31" s="36"/>
      <x:c r="M31" s="36"/>
      <x:c r="N31" s="45"/>
      <x:c r="O31" s="48" t="str">
        <x:f>IF(B31="","",AVERAGE(IFERROR(VLOOKUP(D31,'Справочники'!$A$5:$B$14,2,FALSE),0),IFERROR(VLOOKUP(E31,'Справочники'!$D$5:$E$12,2,FALSE),0),IFERROR(VLOOKUP(F31,'Справочники'!$G$5:$H$12,2,FALSE),0),IFERROR(VLOOKUP(G31,'Справочники'!$J$5:$K$12,2,FALSE),0)))</x:f>
      </x:c>
      <x:c r="P31" s="36"/>
    </x:row>
    <x:row r="32" ht="44" customHeight="1">
      <x:c r="A32" s="39"/>
      <x:c r="B32" s="36"/>
      <x:c r="C32" s="36"/>
      <x:c r="D32" s="42"/>
      <x:c r="E32" s="42"/>
      <x:c r="F32" s="42"/>
      <x:c r="G32" s="42"/>
      <x:c r="H32" s="42"/>
      <x:c r="I32" s="42"/>
      <x:c r="J32" s="36"/>
      <x:c r="K32" s="36"/>
      <x:c r="L32" s="36"/>
      <x:c r="M32" s="36"/>
      <x:c r="N32" s="45"/>
      <x:c r="O32" s="48" t="str">
        <x:f>IF(B32="","",AVERAGE(IFERROR(VLOOKUP(D32,'Справочники'!$A$5:$B$14,2,FALSE),0),IFERROR(VLOOKUP(E32,'Справочники'!$D$5:$E$12,2,FALSE),0),IFERROR(VLOOKUP(F32,'Справочники'!$G$5:$H$12,2,FALSE),0),IFERROR(VLOOKUP(G32,'Справочники'!$J$5:$K$12,2,FALSE),0)))</x:f>
      </x:c>
      <x:c r="P32" s="36"/>
    </x:row>
    <x:row r="33" ht="44" customHeight="1">
      <x:c r="A33" s="39"/>
      <x:c r="B33" s="36"/>
      <x:c r="C33" s="36"/>
      <x:c r="D33" s="42"/>
      <x:c r="E33" s="42"/>
      <x:c r="F33" s="42"/>
      <x:c r="G33" s="42"/>
      <x:c r="H33" s="42"/>
      <x:c r="I33" s="42"/>
      <x:c r="J33" s="36"/>
      <x:c r="K33" s="36"/>
      <x:c r="L33" s="36"/>
      <x:c r="M33" s="36"/>
      <x:c r="N33" s="45"/>
      <x:c r="O33" s="48" t="str">
        <x:f>IF(B33="","",AVERAGE(IFERROR(VLOOKUP(D33,'Справочники'!$A$5:$B$14,2,FALSE),0),IFERROR(VLOOKUP(E33,'Справочники'!$D$5:$E$12,2,FALSE),0),IFERROR(VLOOKUP(F33,'Справочники'!$G$5:$H$12,2,FALSE),0),IFERROR(VLOOKUP(G33,'Справочники'!$J$5:$K$12,2,FALSE),0)))</x:f>
      </x:c>
      <x:c r="P33" s="36"/>
    </x:row>
    <x:row r="34" ht="44" customHeight="1">
      <x:c r="A34" s="39"/>
      <x:c r="B34" s="36"/>
      <x:c r="C34" s="36"/>
      <x:c r="D34" s="42"/>
      <x:c r="E34" s="42"/>
      <x:c r="F34" s="42"/>
      <x:c r="G34" s="42"/>
      <x:c r="H34" s="42"/>
      <x:c r="I34" s="42"/>
      <x:c r="J34" s="36"/>
      <x:c r="K34" s="36"/>
      <x:c r="L34" s="36"/>
      <x:c r="M34" s="36"/>
      <x:c r="N34" s="45"/>
      <x:c r="O34" s="48" t="str">
        <x:f>IF(B34="","",AVERAGE(IFERROR(VLOOKUP(D34,'Справочники'!$A$5:$B$14,2,FALSE),0),IFERROR(VLOOKUP(E34,'Справочники'!$D$5:$E$12,2,FALSE),0),IFERROR(VLOOKUP(F34,'Справочники'!$G$5:$H$12,2,FALSE),0),IFERROR(VLOOKUP(G34,'Справочники'!$J$5:$K$12,2,FALSE),0)))</x:f>
      </x:c>
      <x:c r="P34" s="36"/>
    </x:row>
    <x:row r="35" ht="44" customHeight="1">
      <x:c r="A35" s="39"/>
      <x:c r="B35" s="36"/>
      <x:c r="C35" s="36"/>
      <x:c r="D35" s="42"/>
      <x:c r="E35" s="42"/>
      <x:c r="F35" s="42"/>
      <x:c r="G35" s="42"/>
      <x:c r="H35" s="42"/>
      <x:c r="I35" s="42"/>
      <x:c r="J35" s="36"/>
      <x:c r="K35" s="36"/>
      <x:c r="L35" s="36"/>
      <x:c r="M35" s="36"/>
      <x:c r="N35" s="45"/>
      <x:c r="O35" s="48" t="str">
        <x:f>IF(B35="","",AVERAGE(IFERROR(VLOOKUP(D35,'Справочники'!$A$5:$B$14,2,FALSE),0),IFERROR(VLOOKUP(E35,'Справочники'!$D$5:$E$12,2,FALSE),0),IFERROR(VLOOKUP(F35,'Справочники'!$G$5:$H$12,2,FALSE),0),IFERROR(VLOOKUP(G35,'Справочники'!$J$5:$K$12,2,FALSE),0)))</x:f>
      </x:c>
      <x:c r="P35" s="36"/>
    </x:row>
    <x:row r="36" ht="44" customHeight="1">
      <x:c r="A36" s="39"/>
      <x:c r="B36" s="36"/>
      <x:c r="C36" s="36"/>
      <x:c r="D36" s="42"/>
      <x:c r="E36" s="42"/>
      <x:c r="F36" s="42"/>
      <x:c r="G36" s="42"/>
      <x:c r="H36" s="42"/>
      <x:c r="I36" s="42"/>
      <x:c r="J36" s="36"/>
      <x:c r="K36" s="36"/>
      <x:c r="L36" s="36"/>
      <x:c r="M36" s="36"/>
      <x:c r="N36" s="45"/>
      <x:c r="O36" s="48" t="str">
        <x:f>IF(B36="","",AVERAGE(IFERROR(VLOOKUP(D36,'Справочники'!$A$5:$B$14,2,FALSE),0),IFERROR(VLOOKUP(E36,'Справочники'!$D$5:$E$12,2,FALSE),0),IFERROR(VLOOKUP(F36,'Справочники'!$G$5:$H$12,2,FALSE),0),IFERROR(VLOOKUP(G36,'Справочники'!$J$5:$K$12,2,FALSE),0)))</x:f>
      </x:c>
      <x:c r="P36" s="36"/>
    </x:row>
    <x:row r="37" ht="44" customHeight="1">
      <x:c r="A37" s="39"/>
      <x:c r="B37" s="36"/>
      <x:c r="C37" s="36"/>
      <x:c r="D37" s="42"/>
      <x:c r="E37" s="42"/>
      <x:c r="F37" s="42"/>
      <x:c r="G37" s="42"/>
      <x:c r="H37" s="42"/>
      <x:c r="I37" s="42"/>
      <x:c r="J37" s="36"/>
      <x:c r="K37" s="36"/>
      <x:c r="L37" s="36"/>
      <x:c r="M37" s="36"/>
      <x:c r="N37" s="45"/>
      <x:c r="O37" s="48" t="str">
        <x:f>IF(B37="","",AVERAGE(IFERROR(VLOOKUP(D37,'Справочники'!$A$5:$B$14,2,FALSE),0),IFERROR(VLOOKUP(E37,'Справочники'!$D$5:$E$12,2,FALSE),0),IFERROR(VLOOKUP(F37,'Справочники'!$G$5:$H$12,2,FALSE),0),IFERROR(VLOOKUP(G37,'Справочники'!$J$5:$K$12,2,FALSE),0)))</x:f>
      </x:c>
      <x:c r="P37" s="36"/>
    </x:row>
    <x:row r="38" ht="44" customHeight="1">
      <x:c r="A38" s="39"/>
      <x:c r="B38" s="36"/>
      <x:c r="C38" s="36"/>
      <x:c r="D38" s="42"/>
      <x:c r="E38" s="42"/>
      <x:c r="F38" s="42"/>
      <x:c r="G38" s="42"/>
      <x:c r="H38" s="42"/>
      <x:c r="I38" s="42"/>
      <x:c r="J38" s="36"/>
      <x:c r="K38" s="36"/>
      <x:c r="L38" s="36"/>
      <x:c r="M38" s="36"/>
      <x:c r="N38" s="45"/>
      <x:c r="O38" s="48" t="str">
        <x:f>IF(B38="","",AVERAGE(IFERROR(VLOOKUP(D38,'Справочники'!$A$5:$B$14,2,FALSE),0),IFERROR(VLOOKUP(E38,'Справочники'!$D$5:$E$12,2,FALSE),0),IFERROR(VLOOKUP(F38,'Справочники'!$G$5:$H$12,2,FALSE),0),IFERROR(VLOOKUP(G38,'Справочники'!$J$5:$K$12,2,FALSE),0)))</x:f>
      </x:c>
      <x:c r="P38" s="36"/>
    </x:row>
    <x:row r="39" ht="44" customHeight="1">
      <x:c r="A39" s="39"/>
      <x:c r="B39" s="36"/>
      <x:c r="C39" s="36"/>
      <x:c r="D39" s="42"/>
      <x:c r="E39" s="42"/>
      <x:c r="F39" s="42"/>
      <x:c r="G39" s="42"/>
      <x:c r="H39" s="42"/>
      <x:c r="I39" s="42"/>
      <x:c r="J39" s="36"/>
      <x:c r="K39" s="36"/>
      <x:c r="L39" s="36"/>
      <x:c r="M39" s="36"/>
      <x:c r="N39" s="45"/>
      <x:c r="O39" s="48" t="str">
        <x:f>IF(B39="","",AVERAGE(IFERROR(VLOOKUP(D39,'Справочники'!$A$5:$B$14,2,FALSE),0),IFERROR(VLOOKUP(E39,'Справочники'!$D$5:$E$12,2,FALSE),0),IFERROR(VLOOKUP(F39,'Справочники'!$G$5:$H$12,2,FALSE),0),IFERROR(VLOOKUP(G39,'Справочники'!$J$5:$K$12,2,FALSE),0)))</x:f>
      </x:c>
      <x:c r="P39" s="36"/>
    </x:row>
    <x:row r="40" ht="44" customHeight="1">
      <x:c r="A40" s="39"/>
      <x:c r="B40" s="36"/>
      <x:c r="C40" s="36"/>
      <x:c r="D40" s="42"/>
      <x:c r="E40" s="42"/>
      <x:c r="F40" s="42"/>
      <x:c r="G40" s="42"/>
      <x:c r="H40" s="42"/>
      <x:c r="I40" s="42"/>
      <x:c r="J40" s="36"/>
      <x:c r="K40" s="36"/>
      <x:c r="L40" s="36"/>
      <x:c r="M40" s="36"/>
      <x:c r="N40" s="45"/>
      <x:c r="O40" s="48" t="str">
        <x:f>IF(B40="","",AVERAGE(IFERROR(VLOOKUP(D40,'Справочники'!$A$5:$B$14,2,FALSE),0),IFERROR(VLOOKUP(E40,'Справочники'!$D$5:$E$12,2,FALSE),0),IFERROR(VLOOKUP(F40,'Справочники'!$G$5:$H$12,2,FALSE),0),IFERROR(VLOOKUP(G40,'Справочники'!$J$5:$K$12,2,FALSE),0)))</x:f>
      </x:c>
      <x:c r="P40" s="36"/>
    </x:row>
    <x:row r="41" ht="44" customHeight="1">
      <x:c r="A41" s="39"/>
      <x:c r="B41" s="36"/>
      <x:c r="C41" s="36"/>
      <x:c r="D41" s="42"/>
      <x:c r="E41" s="42"/>
      <x:c r="F41" s="42"/>
      <x:c r="G41" s="42"/>
      <x:c r="H41" s="42"/>
      <x:c r="I41" s="42"/>
      <x:c r="J41" s="36"/>
      <x:c r="K41" s="36"/>
      <x:c r="L41" s="36"/>
      <x:c r="M41" s="36"/>
      <x:c r="N41" s="45"/>
      <x:c r="O41" s="48" t="str">
        <x:f>IF(B41="","",AVERAGE(IFERROR(VLOOKUP(D41,'Справочники'!$A$5:$B$14,2,FALSE),0),IFERROR(VLOOKUP(E41,'Справочники'!$D$5:$E$12,2,FALSE),0),IFERROR(VLOOKUP(F41,'Справочники'!$G$5:$H$12,2,FALSE),0),IFERROR(VLOOKUP(G41,'Справочники'!$J$5:$K$12,2,FALSE),0)))</x:f>
      </x:c>
      <x:c r="P41" s="36"/>
    </x:row>
    <x:row r="42" ht="44" customHeight="1">
      <x:c r="A42" s="39"/>
      <x:c r="B42" s="36"/>
      <x:c r="C42" s="36"/>
      <x:c r="D42" s="42"/>
      <x:c r="E42" s="42"/>
      <x:c r="F42" s="42"/>
      <x:c r="G42" s="42"/>
      <x:c r="H42" s="42"/>
      <x:c r="I42" s="42"/>
      <x:c r="J42" s="36"/>
      <x:c r="K42" s="36"/>
      <x:c r="L42" s="36"/>
      <x:c r="M42" s="36"/>
      <x:c r="N42" s="45"/>
      <x:c r="O42" s="48" t="str">
        <x:f>IF(B42="","",AVERAGE(IFERROR(VLOOKUP(D42,'Справочники'!$A$5:$B$14,2,FALSE),0),IFERROR(VLOOKUP(E42,'Справочники'!$D$5:$E$12,2,FALSE),0),IFERROR(VLOOKUP(F42,'Справочники'!$G$5:$H$12,2,FALSE),0),IFERROR(VLOOKUP(G42,'Справочники'!$J$5:$K$12,2,FALSE),0)))</x:f>
      </x:c>
      <x:c r="P42" s="36"/>
    </x:row>
    <x:row r="43" ht="44" customHeight="1">
      <x:c r="A43" s="39"/>
      <x:c r="B43" s="36"/>
      <x:c r="C43" s="36"/>
      <x:c r="D43" s="42"/>
      <x:c r="E43" s="42"/>
      <x:c r="F43" s="42"/>
      <x:c r="G43" s="42"/>
      <x:c r="H43" s="42"/>
      <x:c r="I43" s="42"/>
      <x:c r="J43" s="36"/>
      <x:c r="K43" s="36"/>
      <x:c r="L43" s="36"/>
      <x:c r="M43" s="36"/>
      <x:c r="N43" s="45"/>
      <x:c r="O43" s="48" t="str">
        <x:f>IF(B43="","",AVERAGE(IFERROR(VLOOKUP(D43,'Справочники'!$A$5:$B$14,2,FALSE),0),IFERROR(VLOOKUP(E43,'Справочники'!$D$5:$E$12,2,FALSE),0),IFERROR(VLOOKUP(F43,'Справочники'!$G$5:$H$12,2,FALSE),0),IFERROR(VLOOKUP(G43,'Справочники'!$J$5:$K$12,2,FALSE),0)))</x:f>
      </x:c>
      <x:c r="P43" s="36"/>
    </x:row>
    <x:row r="44" ht="44" customHeight="1">
      <x:c r="A44" s="39"/>
      <x:c r="B44" s="36"/>
      <x:c r="C44" s="36"/>
      <x:c r="D44" s="42"/>
      <x:c r="E44" s="42"/>
      <x:c r="F44" s="42"/>
      <x:c r="G44" s="42"/>
      <x:c r="H44" s="42"/>
      <x:c r="I44" s="42"/>
      <x:c r="J44" s="36"/>
      <x:c r="K44" s="36"/>
      <x:c r="L44" s="36"/>
      <x:c r="M44" s="36"/>
      <x:c r="N44" s="45"/>
      <x:c r="O44" s="48" t="str">
        <x:f>IF(B44="","",AVERAGE(IFERROR(VLOOKUP(D44,'Справочники'!$A$5:$B$14,2,FALSE),0),IFERROR(VLOOKUP(E44,'Справочники'!$D$5:$E$12,2,FALSE),0),IFERROR(VLOOKUP(F44,'Справочники'!$G$5:$H$12,2,FALSE),0),IFERROR(VLOOKUP(G44,'Справочники'!$J$5:$K$12,2,FALSE),0)))</x:f>
      </x:c>
      <x:c r="P44" s="36"/>
    </x:row>
    <x:row r="45" ht="44" customHeight="1">
      <x:c r="A45" s="39"/>
      <x:c r="B45" s="36"/>
      <x:c r="C45" s="36"/>
      <x:c r="D45" s="42"/>
      <x:c r="E45" s="42"/>
      <x:c r="F45" s="42"/>
      <x:c r="G45" s="42"/>
      <x:c r="H45" s="42"/>
      <x:c r="I45" s="42"/>
      <x:c r="J45" s="36"/>
      <x:c r="K45" s="36"/>
      <x:c r="L45" s="36"/>
      <x:c r="M45" s="36"/>
      <x:c r="N45" s="45"/>
      <x:c r="O45" s="48" t="str">
        <x:f>IF(B45="","",AVERAGE(IFERROR(VLOOKUP(D45,'Справочники'!$A$5:$B$14,2,FALSE),0),IFERROR(VLOOKUP(E45,'Справочники'!$D$5:$E$12,2,FALSE),0),IFERROR(VLOOKUP(F45,'Справочники'!$G$5:$H$12,2,FALSE),0),IFERROR(VLOOKUP(G45,'Справочники'!$J$5:$K$12,2,FALSE),0)))</x:f>
      </x:c>
      <x:c r="P45" s="36"/>
    </x:row>
    <x:row r="46" ht="44" customHeight="1">
      <x:c r="A46" s="39"/>
      <x:c r="B46" s="36"/>
      <x:c r="C46" s="36"/>
      <x:c r="D46" s="42"/>
      <x:c r="E46" s="42"/>
      <x:c r="F46" s="42"/>
      <x:c r="G46" s="42"/>
      <x:c r="H46" s="42"/>
      <x:c r="I46" s="42"/>
      <x:c r="J46" s="36"/>
      <x:c r="K46" s="36"/>
      <x:c r="L46" s="36"/>
      <x:c r="M46" s="36"/>
      <x:c r="N46" s="45"/>
      <x:c r="O46" s="48" t="str">
        <x:f>IF(B46="","",AVERAGE(IFERROR(VLOOKUP(D46,'Справочники'!$A$5:$B$14,2,FALSE),0),IFERROR(VLOOKUP(E46,'Справочники'!$D$5:$E$12,2,FALSE),0),IFERROR(VLOOKUP(F46,'Справочники'!$G$5:$H$12,2,FALSE),0),IFERROR(VLOOKUP(G46,'Справочники'!$J$5:$K$12,2,FALSE),0)))</x:f>
      </x:c>
      <x:c r="P46" s="36"/>
    </x:row>
    <x:row r="47" ht="44" customHeight="1">
      <x:c r="A47" s="39"/>
      <x:c r="B47" s="36"/>
      <x:c r="C47" s="36"/>
      <x:c r="D47" s="42"/>
      <x:c r="E47" s="42"/>
      <x:c r="F47" s="42"/>
      <x:c r="G47" s="42"/>
      <x:c r="H47" s="42"/>
      <x:c r="I47" s="42"/>
      <x:c r="J47" s="36"/>
      <x:c r="K47" s="36"/>
      <x:c r="L47" s="36"/>
      <x:c r="M47" s="36"/>
      <x:c r="N47" s="45"/>
      <x:c r="O47" s="48" t="str">
        <x:f>IF(B47="","",AVERAGE(IFERROR(VLOOKUP(D47,'Справочники'!$A$5:$B$14,2,FALSE),0),IFERROR(VLOOKUP(E47,'Справочники'!$D$5:$E$12,2,FALSE),0),IFERROR(VLOOKUP(F47,'Справочники'!$G$5:$H$12,2,FALSE),0),IFERROR(VLOOKUP(G47,'Справочники'!$J$5:$K$12,2,FALSE),0)))</x:f>
      </x:c>
      <x:c r="P47" s="36"/>
    </x:row>
    <x:row r="48" ht="44" customHeight="1">
      <x:c r="A48" s="39"/>
      <x:c r="B48" s="36"/>
      <x:c r="C48" s="36"/>
      <x:c r="D48" s="42"/>
      <x:c r="E48" s="42"/>
      <x:c r="F48" s="42"/>
      <x:c r="G48" s="42"/>
      <x:c r="H48" s="42"/>
      <x:c r="I48" s="42"/>
      <x:c r="J48" s="36"/>
      <x:c r="K48" s="36"/>
      <x:c r="L48" s="36"/>
      <x:c r="M48" s="36"/>
      <x:c r="N48" s="45"/>
      <x:c r="O48" s="48" t="str">
        <x:f>IF(B48="","",AVERAGE(IFERROR(VLOOKUP(D48,'Справочники'!$A$5:$B$14,2,FALSE),0),IFERROR(VLOOKUP(E48,'Справочники'!$D$5:$E$12,2,FALSE),0),IFERROR(VLOOKUP(F48,'Справочники'!$G$5:$H$12,2,FALSE),0),IFERROR(VLOOKUP(G48,'Справочники'!$J$5:$K$12,2,FALSE),0)))</x:f>
      </x:c>
      <x:c r="P48" s="36"/>
    </x:row>
    <x:row r="49" ht="44" customHeight="1">
      <x:c r="A49" s="39"/>
      <x:c r="B49" s="36"/>
      <x:c r="C49" s="36"/>
      <x:c r="D49" s="42"/>
      <x:c r="E49" s="42"/>
      <x:c r="F49" s="42"/>
      <x:c r="G49" s="42"/>
      <x:c r="H49" s="42"/>
      <x:c r="I49" s="42"/>
      <x:c r="J49" s="36"/>
      <x:c r="K49" s="36"/>
      <x:c r="L49" s="36"/>
      <x:c r="M49" s="36"/>
      <x:c r="N49" s="45"/>
      <x:c r="O49" s="48" t="str">
        <x:f>IF(B49="","",AVERAGE(IFERROR(VLOOKUP(D49,'Справочники'!$A$5:$B$14,2,FALSE),0),IFERROR(VLOOKUP(E49,'Справочники'!$D$5:$E$12,2,FALSE),0),IFERROR(VLOOKUP(F49,'Справочники'!$G$5:$H$12,2,FALSE),0),IFERROR(VLOOKUP(G49,'Справочники'!$J$5:$K$12,2,FALSE),0)))</x:f>
      </x:c>
      <x:c r="P49" s="36"/>
    </x:row>
    <x:row r="50" ht="44" customHeight="1">
      <x:c r="A50" s="39"/>
      <x:c r="B50" s="36"/>
      <x:c r="C50" s="36"/>
      <x:c r="D50" s="42"/>
      <x:c r="E50" s="42"/>
      <x:c r="F50" s="42"/>
      <x:c r="G50" s="42"/>
      <x:c r="H50" s="42"/>
      <x:c r="I50" s="42"/>
      <x:c r="J50" s="36"/>
      <x:c r="K50" s="36"/>
      <x:c r="L50" s="36"/>
      <x:c r="M50" s="36"/>
      <x:c r="N50" s="45"/>
      <x:c r="O50" s="48" t="str">
        <x:f>IF(B50="","",AVERAGE(IFERROR(VLOOKUP(D50,'Справочники'!$A$5:$B$14,2,FALSE),0),IFERROR(VLOOKUP(E50,'Справочники'!$D$5:$E$12,2,FALSE),0),IFERROR(VLOOKUP(F50,'Справочники'!$G$5:$H$12,2,FALSE),0),IFERROR(VLOOKUP(G50,'Справочники'!$J$5:$K$12,2,FALSE),0)))</x:f>
      </x:c>
      <x:c r="P50" s="36"/>
    </x:row>
    <x:row r="51" ht="44" customHeight="1">
      <x:c r="A51" s="39"/>
      <x:c r="B51" s="36"/>
      <x:c r="C51" s="36"/>
      <x:c r="D51" s="42"/>
      <x:c r="E51" s="42"/>
      <x:c r="F51" s="42"/>
      <x:c r="G51" s="42"/>
      <x:c r="H51" s="42"/>
      <x:c r="I51" s="42"/>
      <x:c r="J51" s="36"/>
      <x:c r="K51" s="36"/>
      <x:c r="L51" s="36"/>
      <x:c r="M51" s="36"/>
      <x:c r="N51" s="45"/>
      <x:c r="O51" s="48" t="str">
        <x:f>IF(B51="","",AVERAGE(IFERROR(VLOOKUP(D51,'Справочники'!$A$5:$B$14,2,FALSE),0),IFERROR(VLOOKUP(E51,'Справочники'!$D$5:$E$12,2,FALSE),0),IFERROR(VLOOKUP(F51,'Справочники'!$G$5:$H$12,2,FALSE),0),IFERROR(VLOOKUP(G51,'Справочники'!$J$5:$K$12,2,FALSE),0)))</x:f>
      </x:c>
      <x:c r="P51" s="36"/>
    </x:row>
    <x:row r="52" ht="44" customHeight="1">
      <x:c r="A52" s="39"/>
      <x:c r="B52" s="36"/>
      <x:c r="C52" s="36"/>
      <x:c r="D52" s="42"/>
      <x:c r="E52" s="42"/>
      <x:c r="F52" s="42"/>
      <x:c r="G52" s="42"/>
      <x:c r="H52" s="42"/>
      <x:c r="I52" s="42"/>
      <x:c r="J52" s="36"/>
      <x:c r="K52" s="36"/>
      <x:c r="L52" s="36"/>
      <x:c r="M52" s="36"/>
      <x:c r="N52" s="45"/>
      <x:c r="O52" s="48" t="str">
        <x:f>IF(B52="","",AVERAGE(IFERROR(VLOOKUP(D52,'Справочники'!$A$5:$B$14,2,FALSE),0),IFERROR(VLOOKUP(E52,'Справочники'!$D$5:$E$12,2,FALSE),0),IFERROR(VLOOKUP(F52,'Справочники'!$G$5:$H$12,2,FALSE),0),IFERROR(VLOOKUP(G52,'Справочники'!$J$5:$K$12,2,FALSE),0)))</x:f>
      </x:c>
      <x:c r="P52" s="36"/>
    </x:row>
    <x:row r="53" ht="44" customHeight="1">
      <x:c r="A53" s="39"/>
      <x:c r="B53" s="36"/>
      <x:c r="C53" s="36"/>
      <x:c r="D53" s="42"/>
      <x:c r="E53" s="42"/>
      <x:c r="F53" s="42"/>
      <x:c r="G53" s="42"/>
      <x:c r="H53" s="42"/>
      <x:c r="I53" s="42"/>
      <x:c r="J53" s="36"/>
      <x:c r="K53" s="36"/>
      <x:c r="L53" s="36"/>
      <x:c r="M53" s="36"/>
      <x:c r="N53" s="45"/>
      <x:c r="O53" s="48" t="str">
        <x:f>IF(B53="","",AVERAGE(IFERROR(VLOOKUP(D53,'Справочники'!$A$5:$B$14,2,FALSE),0),IFERROR(VLOOKUP(E53,'Справочники'!$D$5:$E$12,2,FALSE),0),IFERROR(VLOOKUP(F53,'Справочники'!$G$5:$H$12,2,FALSE),0),IFERROR(VLOOKUP(G53,'Справочники'!$J$5:$K$12,2,FALSE),0)))</x:f>
      </x:c>
      <x:c r="P53" s="36"/>
    </x:row>
    <x:row r="54" ht="44" customHeight="1">
      <x:c r="A54" s="39"/>
      <x:c r="B54" s="36"/>
      <x:c r="C54" s="36"/>
      <x:c r="D54" s="42"/>
      <x:c r="E54" s="42"/>
      <x:c r="F54" s="42"/>
      <x:c r="G54" s="42"/>
      <x:c r="H54" s="42"/>
      <x:c r="I54" s="42"/>
      <x:c r="J54" s="36"/>
      <x:c r="K54" s="36"/>
      <x:c r="L54" s="36"/>
      <x:c r="M54" s="36"/>
      <x:c r="N54" s="45"/>
      <x:c r="O54" s="48" t="str">
        <x:f>IF(B54="","",AVERAGE(IFERROR(VLOOKUP(D54,'Справочники'!$A$5:$B$14,2,FALSE),0),IFERROR(VLOOKUP(E54,'Справочники'!$D$5:$E$12,2,FALSE),0),IFERROR(VLOOKUP(F54,'Справочники'!$G$5:$H$12,2,FALSE),0),IFERROR(VLOOKUP(G54,'Справочники'!$J$5:$K$12,2,FALSE),0)))</x:f>
      </x:c>
      <x:c r="P54" s="36"/>
    </x:row>
    <x:row r="55" ht="44" customHeight="1">
      <x:c r="A55" s="39"/>
      <x:c r="B55" s="36"/>
      <x:c r="C55" s="36"/>
      <x:c r="D55" s="42"/>
      <x:c r="E55" s="42"/>
      <x:c r="F55" s="42"/>
      <x:c r="G55" s="42"/>
      <x:c r="H55" s="42"/>
      <x:c r="I55" s="42"/>
      <x:c r="J55" s="36"/>
      <x:c r="K55" s="36"/>
      <x:c r="L55" s="36"/>
      <x:c r="M55" s="36"/>
      <x:c r="N55" s="45"/>
      <x:c r="O55" s="48" t="str">
        <x:f>IF(B55="","",AVERAGE(IFERROR(VLOOKUP(D55,'Справочники'!$A$5:$B$14,2,FALSE),0),IFERROR(VLOOKUP(E55,'Справочники'!$D$5:$E$12,2,FALSE),0),IFERROR(VLOOKUP(F55,'Справочники'!$G$5:$H$12,2,FALSE),0),IFERROR(VLOOKUP(G55,'Справочники'!$J$5:$K$12,2,FALSE),0)))</x:f>
      </x:c>
      <x:c r="P55" s="36"/>
    </x:row>
    <x:row r="56" ht="44" customHeight="1">
      <x:c r="A56" s="39"/>
      <x:c r="B56" s="36"/>
      <x:c r="C56" s="36"/>
      <x:c r="D56" s="42"/>
      <x:c r="E56" s="42"/>
      <x:c r="F56" s="42"/>
      <x:c r="G56" s="42"/>
      <x:c r="H56" s="42"/>
      <x:c r="I56" s="42"/>
      <x:c r="J56" s="36"/>
      <x:c r="K56" s="36"/>
      <x:c r="L56" s="36"/>
      <x:c r="M56" s="36"/>
      <x:c r="N56" s="45"/>
      <x:c r="O56" s="48" t="str">
        <x:f>IF(B56="","",AVERAGE(IFERROR(VLOOKUP(D56,'Справочники'!$A$5:$B$14,2,FALSE),0),IFERROR(VLOOKUP(E56,'Справочники'!$D$5:$E$12,2,FALSE),0),IFERROR(VLOOKUP(F56,'Справочники'!$G$5:$H$12,2,FALSE),0),IFERROR(VLOOKUP(G56,'Справочники'!$J$5:$K$12,2,FALSE),0)))</x:f>
      </x:c>
      <x:c r="P56" s="36"/>
    </x:row>
    <x:row r="57" ht="44" customHeight="1">
      <x:c r="A57" s="39"/>
      <x:c r="B57" s="36"/>
      <x:c r="C57" s="36"/>
      <x:c r="D57" s="42"/>
      <x:c r="E57" s="42"/>
      <x:c r="F57" s="42"/>
      <x:c r="G57" s="42"/>
      <x:c r="H57" s="42"/>
      <x:c r="I57" s="42"/>
      <x:c r="J57" s="36"/>
      <x:c r="K57" s="36"/>
      <x:c r="L57" s="36"/>
      <x:c r="M57" s="36"/>
      <x:c r="N57" s="45"/>
      <x:c r="O57" s="48" t="str">
        <x:f>IF(B57="","",AVERAGE(IFERROR(VLOOKUP(D57,'Справочники'!$A$5:$B$14,2,FALSE),0),IFERROR(VLOOKUP(E57,'Справочники'!$D$5:$E$12,2,FALSE),0),IFERROR(VLOOKUP(F57,'Справочники'!$G$5:$H$12,2,FALSE),0),IFERROR(VLOOKUP(G57,'Справочники'!$J$5:$K$12,2,FALSE),0)))</x:f>
      </x:c>
      <x:c r="P57" s="36"/>
    </x:row>
    <x:row r="58" ht="44" customHeight="1">
      <x:c r="A58" s="39"/>
      <x:c r="B58" s="36"/>
      <x:c r="C58" s="36"/>
      <x:c r="D58" s="42"/>
      <x:c r="E58" s="42"/>
      <x:c r="F58" s="42"/>
      <x:c r="G58" s="42"/>
      <x:c r="H58" s="42"/>
      <x:c r="I58" s="42"/>
      <x:c r="J58" s="36"/>
      <x:c r="K58" s="36"/>
      <x:c r="L58" s="36"/>
      <x:c r="M58" s="36"/>
      <x:c r="N58" s="45"/>
      <x:c r="O58" s="48" t="str">
        <x:f>IF(B58="","",AVERAGE(IFERROR(VLOOKUP(D58,'Справочники'!$A$5:$B$14,2,FALSE),0),IFERROR(VLOOKUP(E58,'Справочники'!$D$5:$E$12,2,FALSE),0),IFERROR(VLOOKUP(F58,'Справочники'!$G$5:$H$12,2,FALSE),0),IFERROR(VLOOKUP(G58,'Справочники'!$J$5:$K$12,2,FALSE),0)))</x:f>
      </x:c>
      <x:c r="P58" s="36"/>
    </x:row>
    <x:row r="59" ht="44" customHeight="1">
      <x:c r="A59" s="39"/>
      <x:c r="B59" s="36"/>
      <x:c r="C59" s="36"/>
      <x:c r="D59" s="42"/>
      <x:c r="E59" s="42"/>
      <x:c r="F59" s="42"/>
      <x:c r="G59" s="42"/>
      <x:c r="H59" s="42"/>
      <x:c r="I59" s="42"/>
      <x:c r="J59" s="36"/>
      <x:c r="K59" s="36"/>
      <x:c r="L59" s="36"/>
      <x:c r="M59" s="36"/>
      <x:c r="N59" s="45"/>
      <x:c r="O59" s="48" t="str">
        <x:f>IF(B59="","",AVERAGE(IFERROR(VLOOKUP(D59,'Справочники'!$A$5:$B$14,2,FALSE),0),IFERROR(VLOOKUP(E59,'Справочники'!$D$5:$E$12,2,FALSE),0),IFERROR(VLOOKUP(F59,'Справочники'!$G$5:$H$12,2,FALSE),0),IFERROR(VLOOKUP(G59,'Справочники'!$J$5:$K$12,2,FALSE),0)))</x:f>
      </x:c>
      <x:c r="P59" s="36"/>
    </x:row>
    <x:row r="60" ht="44" customHeight="1">
      <x:c r="A60" s="39"/>
      <x:c r="B60" s="36"/>
      <x:c r="C60" s="36"/>
      <x:c r="D60" s="42"/>
      <x:c r="E60" s="42"/>
      <x:c r="F60" s="42"/>
      <x:c r="G60" s="42"/>
      <x:c r="H60" s="42"/>
      <x:c r="I60" s="42"/>
      <x:c r="J60" s="36"/>
      <x:c r="K60" s="36"/>
      <x:c r="L60" s="36"/>
      <x:c r="M60" s="36"/>
      <x:c r="N60" s="45"/>
      <x:c r="O60" s="48" t="str">
        <x:f>IF(B60="","",AVERAGE(IFERROR(VLOOKUP(D60,'Справочники'!$A$5:$B$14,2,FALSE),0),IFERROR(VLOOKUP(E60,'Справочники'!$D$5:$E$12,2,FALSE),0),IFERROR(VLOOKUP(F60,'Справочники'!$G$5:$H$12,2,FALSE),0),IFERROR(VLOOKUP(G60,'Справочники'!$J$5:$K$12,2,FALSE),0)))</x:f>
      </x:c>
      <x:c r="P60" s="36"/>
    </x:row>
    <x:row r="61" ht="44" customHeight="1">
      <x:c r="A61" s="39"/>
      <x:c r="B61" s="36"/>
      <x:c r="C61" s="36"/>
      <x:c r="D61" s="42"/>
      <x:c r="E61" s="42"/>
      <x:c r="F61" s="42"/>
      <x:c r="G61" s="42"/>
      <x:c r="H61" s="42"/>
      <x:c r="I61" s="42"/>
      <x:c r="J61" s="36"/>
      <x:c r="K61" s="36"/>
      <x:c r="L61" s="36"/>
      <x:c r="M61" s="36"/>
      <x:c r="N61" s="45"/>
      <x:c r="O61" s="48" t="str">
        <x:f>IF(B61="","",AVERAGE(IFERROR(VLOOKUP(D61,'Справочники'!$A$5:$B$14,2,FALSE),0),IFERROR(VLOOKUP(E61,'Справочники'!$D$5:$E$12,2,FALSE),0),IFERROR(VLOOKUP(F61,'Справочники'!$G$5:$H$12,2,FALSE),0),IFERROR(VLOOKUP(G61,'Справочники'!$J$5:$K$12,2,FALSE),0)))</x:f>
      </x:c>
      <x:c r="P61" s="36"/>
    </x:row>
    <x:row r="62" ht="44" customHeight="1">
      <x:c r="A62" s="39"/>
      <x:c r="B62" s="36"/>
      <x:c r="C62" s="36"/>
      <x:c r="D62" s="42"/>
      <x:c r="E62" s="42"/>
      <x:c r="F62" s="42"/>
      <x:c r="G62" s="42"/>
      <x:c r="H62" s="42"/>
      <x:c r="I62" s="42"/>
      <x:c r="J62" s="36"/>
      <x:c r="K62" s="36"/>
      <x:c r="L62" s="36"/>
      <x:c r="M62" s="36"/>
      <x:c r="N62" s="45"/>
      <x:c r="O62" s="48" t="str">
        <x:f>IF(B62="","",AVERAGE(IFERROR(VLOOKUP(D62,'Справочники'!$A$5:$B$14,2,FALSE),0),IFERROR(VLOOKUP(E62,'Справочники'!$D$5:$E$12,2,FALSE),0),IFERROR(VLOOKUP(F62,'Справочники'!$G$5:$H$12,2,FALSE),0),IFERROR(VLOOKUP(G62,'Справочники'!$J$5:$K$12,2,FALSE),0)))</x:f>
      </x:c>
      <x:c r="P62" s="36"/>
    </x:row>
    <x:row r="63" ht="44" customHeight="1">
      <x:c r="A63" s="39"/>
      <x:c r="B63" s="36"/>
      <x:c r="C63" s="36"/>
      <x:c r="D63" s="42"/>
      <x:c r="E63" s="42"/>
      <x:c r="F63" s="42"/>
      <x:c r="G63" s="42"/>
      <x:c r="H63" s="42"/>
      <x:c r="I63" s="42"/>
      <x:c r="J63" s="36"/>
      <x:c r="K63" s="36"/>
      <x:c r="L63" s="36"/>
      <x:c r="M63" s="36"/>
      <x:c r="N63" s="45"/>
      <x:c r="O63" s="48" t="str">
        <x:f>IF(B63="","",AVERAGE(IFERROR(VLOOKUP(D63,'Справочники'!$A$5:$B$14,2,FALSE),0),IFERROR(VLOOKUP(E63,'Справочники'!$D$5:$E$12,2,FALSE),0),IFERROR(VLOOKUP(F63,'Справочники'!$G$5:$H$12,2,FALSE),0),IFERROR(VLOOKUP(G63,'Справочники'!$J$5:$K$12,2,FALSE),0)))</x:f>
      </x:c>
      <x:c r="P63" s="36"/>
    </x:row>
    <x:row r="64" ht="44" customHeight="1">
      <x:c r="A64" s="39"/>
      <x:c r="B64" s="36"/>
      <x:c r="C64" s="36"/>
      <x:c r="D64" s="42"/>
      <x:c r="E64" s="42"/>
      <x:c r="F64" s="42"/>
      <x:c r="G64" s="42"/>
      <x:c r="H64" s="42"/>
      <x:c r="I64" s="42"/>
      <x:c r="J64" s="36"/>
      <x:c r="K64" s="36"/>
      <x:c r="L64" s="36"/>
      <x:c r="M64" s="36"/>
      <x:c r="N64" s="45"/>
      <x:c r="O64" s="48" t="str">
        <x:f>IF(B64="","",AVERAGE(IFERROR(VLOOKUP(D64,'Справочники'!$A$5:$B$14,2,FALSE),0),IFERROR(VLOOKUP(E64,'Справочники'!$D$5:$E$12,2,FALSE),0),IFERROR(VLOOKUP(F64,'Справочники'!$G$5:$H$12,2,FALSE),0),IFERROR(VLOOKUP(G64,'Справочники'!$J$5:$K$12,2,FALSE),0)))</x:f>
      </x:c>
      <x:c r="P64" s="36"/>
    </x:row>
    <x:row r="65" ht="44" customHeight="1">
      <x:c r="A65" s="39"/>
      <x:c r="B65" s="36"/>
      <x:c r="C65" s="36"/>
      <x:c r="D65" s="42"/>
      <x:c r="E65" s="42"/>
      <x:c r="F65" s="42"/>
      <x:c r="G65" s="42"/>
      <x:c r="H65" s="42"/>
      <x:c r="I65" s="42"/>
      <x:c r="J65" s="36"/>
      <x:c r="K65" s="36"/>
      <x:c r="L65" s="36"/>
      <x:c r="M65" s="36"/>
      <x:c r="N65" s="45"/>
      <x:c r="O65" s="48" t="str">
        <x:f>IF(B65="","",AVERAGE(IFERROR(VLOOKUP(D65,'Справочники'!$A$5:$B$14,2,FALSE),0),IFERROR(VLOOKUP(E65,'Справочники'!$D$5:$E$12,2,FALSE),0),IFERROR(VLOOKUP(F65,'Справочники'!$G$5:$H$12,2,FALSE),0),IFERROR(VLOOKUP(G65,'Справочники'!$J$5:$K$12,2,FALSE),0)))</x:f>
      </x:c>
      <x:c r="P65" s="36"/>
    </x:row>
    <x:row r="66" ht="44" customHeight="1">
      <x:c r="A66" s="39"/>
      <x:c r="B66" s="36"/>
      <x:c r="C66" s="36"/>
      <x:c r="D66" s="42"/>
      <x:c r="E66" s="42"/>
      <x:c r="F66" s="42"/>
      <x:c r="G66" s="42"/>
      <x:c r="H66" s="42"/>
      <x:c r="I66" s="42"/>
      <x:c r="J66" s="36"/>
      <x:c r="K66" s="36"/>
      <x:c r="L66" s="36"/>
      <x:c r="M66" s="36"/>
      <x:c r="N66" s="45"/>
      <x:c r="O66" s="48" t="str">
        <x:f>IF(B66="","",AVERAGE(IFERROR(VLOOKUP(D66,'Справочники'!$A$5:$B$14,2,FALSE),0),IFERROR(VLOOKUP(E66,'Справочники'!$D$5:$E$12,2,FALSE),0),IFERROR(VLOOKUP(F66,'Справочники'!$G$5:$H$12,2,FALSE),0),IFERROR(VLOOKUP(G66,'Справочники'!$J$5:$K$12,2,FALSE),0)))</x:f>
      </x:c>
      <x:c r="P66" s="36"/>
    </x:row>
    <x:row r="67" ht="44" customHeight="1">
      <x:c r="A67" s="39"/>
      <x:c r="B67" s="36"/>
      <x:c r="C67" s="36"/>
      <x:c r="D67" s="42"/>
      <x:c r="E67" s="42"/>
      <x:c r="F67" s="42"/>
      <x:c r="G67" s="42"/>
      <x:c r="H67" s="42"/>
      <x:c r="I67" s="42"/>
      <x:c r="J67" s="36"/>
      <x:c r="K67" s="36"/>
      <x:c r="L67" s="36"/>
      <x:c r="M67" s="36"/>
      <x:c r="N67" s="45"/>
      <x:c r="O67" s="48" t="str">
        <x:f>IF(B67="","",AVERAGE(IFERROR(VLOOKUP(D67,'Справочники'!$A$5:$B$14,2,FALSE),0),IFERROR(VLOOKUP(E67,'Справочники'!$D$5:$E$12,2,FALSE),0),IFERROR(VLOOKUP(F67,'Справочники'!$G$5:$H$12,2,FALSE),0),IFERROR(VLOOKUP(G67,'Справочники'!$J$5:$K$12,2,FALSE),0)))</x:f>
      </x:c>
      <x:c r="P67" s="36"/>
    </x:row>
    <x:row r="68" ht="44" customHeight="1">
      <x:c r="A68" s="39"/>
      <x:c r="B68" s="36"/>
      <x:c r="C68" s="36"/>
      <x:c r="D68" s="42"/>
      <x:c r="E68" s="42"/>
      <x:c r="F68" s="42"/>
      <x:c r="G68" s="42"/>
      <x:c r="H68" s="42"/>
      <x:c r="I68" s="42"/>
      <x:c r="J68" s="36"/>
      <x:c r="K68" s="36"/>
      <x:c r="L68" s="36"/>
      <x:c r="M68" s="36"/>
      <x:c r="N68" s="45"/>
      <x:c r="O68" s="48" t="str">
        <x:f>IF(B68="","",AVERAGE(IFERROR(VLOOKUP(D68,'Справочники'!$A$5:$B$14,2,FALSE),0),IFERROR(VLOOKUP(E68,'Справочники'!$D$5:$E$12,2,FALSE),0),IFERROR(VLOOKUP(F68,'Справочники'!$G$5:$H$12,2,FALSE),0),IFERROR(VLOOKUP(G68,'Справочники'!$J$5:$K$12,2,FALSE),0)))</x:f>
      </x:c>
      <x:c r="P68" s="36"/>
    </x:row>
    <x:row r="69" ht="44" customHeight="1">
      <x:c r="A69" s="39"/>
      <x:c r="B69" s="36"/>
      <x:c r="C69" s="36"/>
      <x:c r="D69" s="42"/>
      <x:c r="E69" s="42"/>
      <x:c r="F69" s="42"/>
      <x:c r="G69" s="42"/>
      <x:c r="H69" s="42"/>
      <x:c r="I69" s="42"/>
      <x:c r="J69" s="36"/>
      <x:c r="K69" s="36"/>
      <x:c r="L69" s="36"/>
      <x:c r="M69" s="36"/>
      <x:c r="N69" s="45"/>
      <x:c r="O69" s="48" t="str">
        <x:f>IF(B69="","",AVERAGE(IFERROR(VLOOKUP(D69,'Справочники'!$A$5:$B$14,2,FALSE),0),IFERROR(VLOOKUP(E69,'Справочники'!$D$5:$E$12,2,FALSE),0),IFERROR(VLOOKUP(F69,'Справочники'!$G$5:$H$12,2,FALSE),0),IFERROR(VLOOKUP(G69,'Справочники'!$J$5:$K$12,2,FALSE),0)))</x:f>
      </x:c>
      <x:c r="P69" s="36"/>
    </x:row>
    <x:row r="70" ht="44" customHeight="1">
      <x:c r="A70" s="39"/>
      <x:c r="B70" s="36"/>
      <x:c r="C70" s="36"/>
      <x:c r="D70" s="42"/>
      <x:c r="E70" s="42"/>
      <x:c r="F70" s="42"/>
      <x:c r="G70" s="42"/>
      <x:c r="H70" s="42"/>
      <x:c r="I70" s="42"/>
      <x:c r="J70" s="36"/>
      <x:c r="K70" s="36"/>
      <x:c r="L70" s="36"/>
      <x:c r="M70" s="36"/>
      <x:c r="N70" s="45"/>
      <x:c r="O70" s="48" t="str">
        <x:f>IF(B70="","",AVERAGE(IFERROR(VLOOKUP(D70,'Справочники'!$A$5:$B$14,2,FALSE),0),IFERROR(VLOOKUP(E70,'Справочники'!$D$5:$E$12,2,FALSE),0),IFERROR(VLOOKUP(F70,'Справочники'!$G$5:$H$12,2,FALSE),0),IFERROR(VLOOKUP(G70,'Справочники'!$J$5:$K$12,2,FALSE),0)))</x:f>
      </x:c>
      <x:c r="P70" s="36"/>
    </x:row>
    <x:row r="71" ht="44" customHeight="1">
      <x:c r="A71" s="39"/>
      <x:c r="B71" s="36"/>
      <x:c r="C71" s="36"/>
      <x:c r="D71" s="42"/>
      <x:c r="E71" s="42"/>
      <x:c r="F71" s="42"/>
      <x:c r="G71" s="42"/>
      <x:c r="H71" s="42"/>
      <x:c r="I71" s="42"/>
      <x:c r="J71" s="36"/>
      <x:c r="K71" s="36"/>
      <x:c r="L71" s="36"/>
      <x:c r="M71" s="36"/>
      <x:c r="N71" s="45"/>
      <x:c r="O71" s="48" t="str">
        <x:f>IF(B71="","",AVERAGE(IFERROR(VLOOKUP(D71,'Справочники'!$A$5:$B$14,2,FALSE),0),IFERROR(VLOOKUP(E71,'Справочники'!$D$5:$E$12,2,FALSE),0),IFERROR(VLOOKUP(F71,'Справочники'!$G$5:$H$12,2,FALSE),0),IFERROR(VLOOKUP(G71,'Справочники'!$J$5:$K$12,2,FALSE),0)))</x:f>
      </x:c>
      <x:c r="P71" s="36"/>
    </x:row>
    <x:row r="72" ht="44" customHeight="1">
      <x:c r="A72" s="39"/>
      <x:c r="B72" s="36"/>
      <x:c r="C72" s="36"/>
      <x:c r="D72" s="42"/>
      <x:c r="E72" s="42"/>
      <x:c r="F72" s="42"/>
      <x:c r="G72" s="42"/>
      <x:c r="H72" s="42"/>
      <x:c r="I72" s="42"/>
      <x:c r="J72" s="36"/>
      <x:c r="K72" s="36"/>
      <x:c r="L72" s="36"/>
      <x:c r="M72" s="36"/>
      <x:c r="N72" s="45"/>
      <x:c r="O72" s="48" t="str">
        <x:f>IF(B72="","",AVERAGE(IFERROR(VLOOKUP(D72,'Справочники'!$A$5:$B$14,2,FALSE),0),IFERROR(VLOOKUP(E72,'Справочники'!$D$5:$E$12,2,FALSE),0),IFERROR(VLOOKUP(F72,'Справочники'!$G$5:$H$12,2,FALSE),0),IFERROR(VLOOKUP(G72,'Справочники'!$J$5:$K$12,2,FALSE),0)))</x:f>
      </x:c>
      <x:c r="P72" s="36"/>
    </x:row>
    <x:row r="73" ht="44" customHeight="1">
      <x:c r="A73" s="39"/>
      <x:c r="B73" s="36"/>
      <x:c r="C73" s="36"/>
      <x:c r="D73" s="42"/>
      <x:c r="E73" s="42"/>
      <x:c r="F73" s="42"/>
      <x:c r="G73" s="42"/>
      <x:c r="H73" s="42"/>
      <x:c r="I73" s="42"/>
      <x:c r="J73" s="36"/>
      <x:c r="K73" s="36"/>
      <x:c r="L73" s="36"/>
      <x:c r="M73" s="36"/>
      <x:c r="N73" s="45"/>
      <x:c r="O73" s="48" t="str">
        <x:f>IF(B73="","",AVERAGE(IFERROR(VLOOKUP(D73,'Справочники'!$A$5:$B$14,2,FALSE),0),IFERROR(VLOOKUP(E73,'Справочники'!$D$5:$E$12,2,FALSE),0),IFERROR(VLOOKUP(F73,'Справочники'!$G$5:$H$12,2,FALSE),0),IFERROR(VLOOKUP(G73,'Справочники'!$J$5:$K$12,2,FALSE),0)))</x:f>
      </x:c>
      <x:c r="P73" s="36"/>
    </x:row>
    <x:row r="74" ht="44" customHeight="1">
      <x:c r="A74" s="39"/>
      <x:c r="B74" s="36"/>
      <x:c r="C74" s="36"/>
      <x:c r="D74" s="42"/>
      <x:c r="E74" s="42"/>
      <x:c r="F74" s="42"/>
      <x:c r="G74" s="42"/>
      <x:c r="H74" s="42"/>
      <x:c r="I74" s="42"/>
      <x:c r="J74" s="36"/>
      <x:c r="K74" s="36"/>
      <x:c r="L74" s="36"/>
      <x:c r="M74" s="36"/>
      <x:c r="N74" s="45"/>
      <x:c r="O74" s="48" t="str">
        <x:f>IF(B74="","",AVERAGE(IFERROR(VLOOKUP(D74,'Справочники'!$A$5:$B$14,2,FALSE),0),IFERROR(VLOOKUP(E74,'Справочники'!$D$5:$E$12,2,FALSE),0),IFERROR(VLOOKUP(F74,'Справочники'!$G$5:$H$12,2,FALSE),0),IFERROR(VLOOKUP(G74,'Справочники'!$J$5:$K$12,2,FALSE),0)))</x:f>
      </x:c>
      <x:c r="P74" s="36"/>
    </x:row>
    <x:row r="75" ht="44" customHeight="1">
      <x:c r="A75" s="40"/>
      <x:c r="B75" s="37"/>
      <x:c r="C75" s="37"/>
      <x:c r="D75" s="43"/>
      <x:c r="E75" s="43"/>
      <x:c r="F75" s="43"/>
      <x:c r="G75" s="43"/>
      <x:c r="H75" s="43"/>
      <x:c r="I75" s="43"/>
      <x:c r="J75" s="37"/>
      <x:c r="K75" s="37"/>
      <x:c r="L75" s="37"/>
      <x:c r="M75" s="37"/>
      <x:c r="N75" s="46"/>
      <x:c r="O75" s="49" t="str">
        <x:f>IF(B75="","",AVERAGE(IFERROR(VLOOKUP(D75,'Справочники'!$A$5:$B$14,2,FALSE),0),IFERROR(VLOOKUP(E75,'Справочники'!$D$5:$E$12,2,FALSE),0),IFERROR(VLOOKUP(F75,'Справочники'!$G$5:$H$12,2,FALSE),0),IFERROR(VLOOKUP(G75,'Справочники'!$J$5:$K$12,2,FALSE),0)))</x:f>
      </x:c>
      <x:c r="P75" s="37"/>
    </x:row>
  </x:sheetData>
  <x:mergeCells>
    <x:mergeCell ref="A1:P1"/>
    <x:mergeCell ref="A2:P2"/>
    <x:mergeCell ref="A3:B3"/>
    <x:mergeCell ref="C3:D3"/>
    <x:mergeCell ref="E3:F3"/>
    <x:mergeCell ref="G3:H3"/>
    <x:mergeCell ref="I3:J3"/>
    <x:mergeCell ref="K3:L3"/>
    <x:mergeCell ref="M3:N3"/>
    <x:mergeCell ref="O3:P3"/>
  </x:mergeCells>
  <x:conditionalFormatting sqref="D6:D75">
    <x:cfRule type="containsText" dxfId="96" priority="1" operator="containsText" text="Готово local/mock"/>
    <x:cfRule type="expression" dxfId="97" priority="2">
      <x:formula>$D6="Готово"</x:formula>
    </x:cfRule>
    <x:cfRule type="containsText" dxfId="98" priority="3" operator="containsText" text="Review"/>
    <x:cfRule type="containsText" dxfId="99" priority="4" operator="containsText" text="Draft"/>
    <x:cfRule type="containsText" dxfId="100" priority="5" operator="containsText" text="Отсутствует"/>
    <x:cfRule type="containsText" dxfId="101" priority="6" operator="containsText" text="В работе"/>
  </x:conditionalFormatting>
  <x:conditionalFormatting sqref="E6:E75">
    <x:cfRule type="containsText" dxfId="102" priority="7" operator="containsText" text="Accepted"/>
    <x:cfRule type="containsText" dxfId="103" priority="8" operator="containsText" text="Canonical"/>
    <x:cfRule type="containsText" dxfId="104" priority="9" operator="containsText" text="Approved"/>
    <x:cfRule type="containsText" dxfId="105" priority="10" operator="containsText" text="Review"/>
    <x:cfRule type="containsText" dxfId="106" priority="11" operator="containsText" text="Draft"/>
    <x:cfRule type="containsText" dxfId="107" priority="12" operator="containsText" text="Отсутствует"/>
  </x:conditionalFormatting>
  <x:conditionalFormatting sqref="F6:F75">
    <x:cfRule type="expression" dxfId="108" priority="13">
      <x:formula>$F6="Production"</x:formula>
    </x:cfRule>
    <x:cfRule type="expression" dxfId="109" priority="14">
      <x:formula>$F6="Local/mock"</x:formula>
    </x:cfRule>
    <x:cfRule type="expression" dxfId="110" priority="15">
      <x:formula>$F6="Pure domain"</x:formula>
    </x:cfRule>
    <x:cfRule type="expression" dxfId="111" priority="16">
      <x:formula>$F6="Отсутствует"</x:formula>
    </x:cfRule>
    <x:cfRule type="expression" dxfId="112" priority="17">
      <x:formula>$F6="Gated"</x:formula>
    </x:cfRule>
  </x:conditionalFormatting>
  <x:conditionalFormatting sqref="G6:G75">
    <x:cfRule type="containsText" dxfId="113" priority="18" operator="containsText" text="Текущие зелёные"/>
    <x:cfRule type="containsText" dxfId="114" priority="19" operator="containsText" text="Исторические зелёные"/>
    <x:cfRule type="containsText" dxfId="115" priority="20" operator="containsText" text="Device pending"/>
    <x:cfRule type="containsText" dxfId="116" priority="21" operator="containsText" text="Не запускались"/>
  </x:conditionalFormatting>
  <x:conditionalFormatting sqref="I6:I75">
    <x:cfRule type="containsText" dxfId="117" priority="22" operator="containsText" text="P0"/>
    <x:cfRule type="containsText" dxfId="118" priority="23" operator="containsText" text="P1"/>
    <x:cfRule type="containsText" dxfId="119" priority="24" operator="containsText" text="P2"/>
  </x:conditionalFormatting>
  <x:conditionalFormatting sqref="O6:O75">
    <x:cfRule type="dataBar" priority="25">
      <x:dataBar>
        <x:cfvo type="min"/>
        <x:cfvo type="max"/>
        <x:color rgb="FF2F6B5C"/>
      </x:dataBar>
      <x:extLst>
        <x:ext xmlns:x14="http://schemas.microsoft.com/office/spreadsheetml/2009/9/main" uri="{B025F937-C7B1-47D3-B67F-A62EFF666E3E}">
          <x14:id>{896DA94A-9B5C-3416-59B2-775C8143C822}</x14:id>
        </x:ext>
      </x:extLst>
    </x:cfRule>
  </x:conditionalFormatting>
  <x:dataValidations count="5">
    <x:dataValidation type="list" sqref="D6:D75">
      <x:formula1>'Справочники'!$A$5:$A$14</x:formula1>
    </x:dataValidation>
    <x:dataValidation type="list" sqref="E6:E75">
      <x:formula1>'Справочники'!$D$5:$D$12</x:formula1>
    </x:dataValidation>
    <x:dataValidation type="list" sqref="F6:F75">
      <x:formula1>'Справочники'!$G$5:$G$12</x:formula1>
    </x:dataValidation>
    <x:dataValidation type="list" sqref="G6:G75">
      <x:formula1>'Справочники'!$J$5:$J$12</x:formula1>
    </x:dataValidation>
    <x:dataValidation type="list" sqref="I6:I75">
      <x:formula1>'Справочники'!$M$5:$M$9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3c95b706c724972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5" id="{896DA94A-9B5C-3416-59B2-775C8143C822}">
            <x14:dataBar gradient="1">
              <x14:cfvo type="min"/>
              <x14:cfvo type="max"/>
              <x14:fillColor rgb="FF2F6B5C"/>
            </x14:dataBar>
          </x14:cfRule>
          <xm:sqref>O6:O75</xm:sqref>
        </x14:conditionalFormatting>
      </x14:conditionalFormattings>
    </x:ext>
  </x:extLst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1" hidden="0" customWidth="1"/>
    <x:col min="3" max="3" width="20" hidden="0" customWidth="1"/>
    <x:col min="4" max="4" width="18" hidden="0" customWidth="1"/>
    <x:col min="5" max="5" width="20" hidden="0" customWidth="1"/>
    <x:col min="6" max="6" width="16" hidden="0" customWidth="1"/>
    <x:col min="7" max="7" width="20" hidden="0" customWidth="1"/>
    <x:col min="8" max="8" width="25" hidden="0" customWidth="1"/>
    <x:col min="9" max="9" width="11" hidden="0" customWidth="1"/>
    <x:col min="10" max="10" width="40" hidden="0" customWidth="1"/>
    <x:col min="11" max="11" width="28" hidden="0" customWidth="1"/>
    <x:col min="12" max="12" width="20" hidden="0" customWidth="1"/>
    <x:col min="13" max="13" width="48" hidden="0" customWidth="1"/>
    <x:col min="14" max="14" width="14" hidden="0" customWidth="1"/>
    <x:col min="15" max="15" width="13" hidden="0" customWidth="1"/>
    <x:col min="16" max="16" width="34" hidden="0" customWidth="1"/>
  </x:cols>
  <x:sheetData>
    <x:row r="1" ht="38" customHeight="1">
      <x:c r="A1" s="3" t="str">
        <x:v>MARKET ROLLOUT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2" customHeight="1">
      <x:c r="A2" s="7" t="str">
        <x:v>Product layer · Latvia first, independent Estonia/Lithuania gates, cohort and GA.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3">
      <x:c r="A3" s="12" t="e">
        <x:f>HYPERLINK("#'Паук'!A1","← Вернуться к пауку")</x:f>
        <x:v>HYPERLINK is not implemented. linkLocation=#'Паук'!A1, friendlyName=← Вернуться к пауку</x:v>
      </x:c>
      <x:c r="B3" s="12"/>
      <x:c r="C3" t="str">
        <x:v>Прогресс</x:v>
      </x:c>
      <x:c r="E3" s="15" t="n">
        <x:f>IFERROR(SUM(O6:O75)/COUNTA(B6:B75),0)</x:f>
        <x:v>0.1421296296296296</x:v>
      </x:c>
      <x:c r="F3" s="15"/>
      <x:c r="G3" t="str">
        <x:v>Открытые P0/P1</x:v>
      </x:c>
      <x:c r="I3" s="18" t="n">
        <x:f>COUNTIFS(I6:I75,"P0",O6:O75,"&lt;1")+COUNTIFS(I6:I75,"P1",O6:O75,"&lt;1")</x:f>
        <x:v>26</x:v>
      </x:c>
      <x:c r="J3" s="18"/>
      <x:c r="K3" t="str">
        <x:v>Runtime отсутствует</x:v>
      </x:c>
      <x:c r="M3" s="21" t="n">
        <x:f>COUNTIF(F6:F75,"Отсутствует")</x:f>
        <x:v>25</x:v>
      </x:c>
      <x:c r="N3" s="21"/>
      <x:c r="O3" s="24" t="e">
        <x:f>HYPERLINK("#'Реестр файлов'!A1","Реестр файлов →")</x:f>
        <x:v>HYPERLINK is not implemented. linkLocation=#'Реестр файлов'!A1, friendlyName=Реестр файлов →</x:v>
      </x:c>
      <x:c r="P3" s="24"/>
    </x:row>
    <x:row r="5">
      <x:c r="A5" s="27" t="str">
        <x:v>ID</x:v>
      </x:c>
      <x:c r="B5" s="27" t="str">
        <x:v>Подсистема / deliverable</x:v>
      </x:c>
      <x:c r="C5" s="27" t="str">
        <x:v>Тип</x:v>
      </x:c>
      <x:c r="D5" s="27" t="str">
        <x:v>Артефакт</x:v>
      </x:c>
      <x:c r="E5" s="27" t="str">
        <x:v>Документация</x:v>
      </x:c>
      <x:c r="F5" s="27" t="str">
        <x:v>Runtime</x:v>
      </x:c>
      <x:c r="G5" s="27" t="str">
        <x:v>Проверки</x:v>
      </x:c>
      <x:c r="H5" s="27" t="str">
        <x:v>Gate / authority</x:v>
      </x:c>
      <x:c r="I5" s="27" t="str">
        <x:v>Приоритет</x:v>
      </x:c>
      <x:c r="J5" s="27" t="str">
        <x:v>Следующее действие</x:v>
      </x:c>
      <x:c r="K5" s="27" t="str">
        <x:v>Блокер</x:v>
      </x:c>
      <x:c r="L5" s="27" t="str">
        <x:v>Owner</x:v>
      </x:c>
      <x:c r="M5" s="27" t="str">
        <x:v>Источник / путь</x:v>
      </x:c>
      <x:c r="N5" s="27" t="str">
        <x:v>Обновлено</x:v>
      </x:c>
      <x:c r="O5" s="27" t="str">
        <x:v>Готовность</x:v>
      </x:c>
      <x:c r="P5" s="27" t="str">
        <x:v>Комментарий</x:v>
      </x:c>
    </x:row>
    <x:row r="6" ht="44" customHeight="1">
      <x:c r="A6" s="38" t="str">
        <x:v>MKT-00</x:v>
      </x:c>
      <x:c r="B6" s="35" t="str">
        <x:v>Baltics-ready platform direction</x:v>
      </x:c>
      <x:c r="C6" s="35" t="str">
        <x:v>Market architecture</x:v>
      </x:c>
      <x:c r="D6" s="41" t="str">
        <x:v>Draft</x:v>
      </x:c>
      <x:c r="E6" s="41" t="str">
        <x:v>Draft</x:v>
      </x:c>
      <x:c r="F6" s="41" t="str">
        <x:v>Отсутствует</x:v>
      </x:c>
      <x:c r="G6" s="41" t="str">
        <x:v>Не запускались</x:v>
      </x:c>
      <x:c r="H6" s="41" t="str">
        <x:v>BCK-02-A1</x:v>
      </x:c>
      <x:c r="I6" s="41" t="str">
        <x:v>P0</x:v>
      </x:c>
      <x:c r="J6" s="35" t="str">
        <x:v>Review roadmap v1.0</x:v>
      </x:c>
      <x:c r="K6" s="35" t="str">
        <x:v>Architecture review</x:v>
      </x:c>
      <x:c r="L6" s="35" t="str">
        <x:v>Platform Architecture</x:v>
      </x:c>
      <x:c r="M6" s="35" t="str">
        <x:v>docs/product/RECHARGE_BACKEND_LATVIA_IMPLEMENTATION_ROADMAP.md</x:v>
      </x:c>
      <x:c r="N6" s="44" t="n">
        <x:v>46250</x:v>
      </x:c>
      <x:c r="O6" s="47" t="n">
        <x:f>IF(B6="","",AVERAGE(IFERROR(VLOOKUP(D6,'Справочники'!$A$5:$B$14,2,FALSE),0),IFERROR(VLOOKUP(E6,'Справочники'!$D$5:$E$12,2,FALSE),0),IFERROR(VLOOKUP(F6,'Справочники'!$G$5:$H$12,2,FALSE),0),IFERROR(VLOOKUP(G6,'Справочники'!$J$5:$K$12,2,FALSE),0)))</x:f>
        <x:v>0.1375</x:v>
      </x:c>
      <x:c r="P6" s="35" t="str"/>
    </x:row>
    <x:row r="7" ht="44" customHeight="1">
      <x:c r="A7" s="39" t="str">
        <x:v>MKT-CFG</x:v>
      </x:c>
      <x:c r="B7" s="36" t="str">
        <x:v>MarketConfig + server flags</x:v>
      </x:c>
      <x:c r="C7" s="36" t="str">
        <x:v>Market runtime</x:v>
      </x:c>
      <x:c r="D7" s="42" t="str">
        <x:v>План</x:v>
      </x:c>
      <x:c r="E7" s="42" t="str">
        <x:v>Draft</x:v>
      </x:c>
      <x:c r="F7" s="42" t="str">
        <x:v>Отсутствует</x:v>
      </x:c>
      <x:c r="G7" s="42" t="str">
        <x:v>Не запускались</x:v>
      </x:c>
      <x:c r="H7" s="42" t="str">
        <x:v>BCK-20 / G1</x:v>
      </x:c>
      <x:c r="I7" s="42" t="str">
        <x:v>P0</x:v>
      </x:c>
      <x:c r="J7" s="36" t="str">
        <x:v>Create versioned disabled-by-default config</x:v>
      </x:c>
      <x:c r="K7" s="36" t="str">
        <x:v>Backend absent</x:v>
      </x:c>
      <x:c r="L7" s="36" t="str">
        <x:v>Reference Data</x:v>
      </x:c>
      <x:c r="M7" s="36" t="str">
        <x:v>docs/product/RECHARGE_BACKEND_LATVIA_IMPLEMENTATION_ROADMAP.md</x:v>
      </x:c>
      <x:c r="N7" s="45"/>
      <x:c r="O7" s="48" t="n">
        <x:f>IF(B7="","",AVERAGE(IFERROR(VLOOKUP(D7,'Справочники'!$A$5:$B$14,2,FALSE),0),IFERROR(VLOOKUP(E7,'Справочники'!$D$5:$E$12,2,FALSE),0),IFERROR(VLOOKUP(F7,'Справочники'!$G$5:$H$12,2,FALSE),0),IFERROR(VLOOKUP(G7,'Справочники'!$J$5:$K$12,2,FALSE),0)))</x:f>
        <x:v>0.0875</x:v>
      </x:c>
      <x:c r="P7" s="36" t="str"/>
    </x:row>
    <x:row r="8" ht="44" customHeight="1">
      <x:c r="A8" s="39" t="str">
        <x:v>MKT-L10N</x:v>
      </x:c>
      <x:c r="B8" s="36" t="str">
        <x:v>Locales en/ru/lv</x:v>
      </x:c>
      <x:c r="C8" s="36" t="str">
        <x:v>Market requirement</x:v>
      </x:c>
      <x:c r="D8" s="42" t="str">
        <x:v>Отсутствует</x:v>
      </x:c>
      <x:c r="E8" s="42" t="str">
        <x:v>Отсутствует</x:v>
      </x:c>
      <x:c r="F8" s="42" t="str">
        <x:v>Отсутствует</x:v>
      </x:c>
      <x:c r="G8" s="42" t="str">
        <x:v>Не запускались</x:v>
      </x:c>
      <x:c r="H8" s="42" t="str">
        <x:v>LV M1/M2</x:v>
      </x:c>
      <x:c r="I8" s="42" t="str">
        <x:v>P0</x:v>
      </x:c>
      <x:c r="J8" s="36" t="str">
        <x:v>Mobile l10n + LocalizedText contract</x:v>
      </x:c>
      <x:c r="K8" s="36" t="str">
        <x:v>OD-10</x:v>
      </x:c>
      <x:c r="L8" s="36" t="str">
        <x:v>Reference Data</x:v>
      </x:c>
      <x:c r="M8" s="36" t="str">
        <x:v>docs/product/VISION.md</x:v>
      </x:c>
      <x:c r="N8" s="45"/>
      <x:c r="O8" s="48" t="n">
        <x:f>IF(B8="","",AVERAGE(IFERROR(VLOOKUP(D8,'Справочники'!$A$5:$B$14,2,FALSE),0),IFERROR(VLOOKUP(E8,'Справочники'!$D$5:$E$12,2,FALSE),0),IFERROR(VLOOKUP(F8,'Справочники'!$G$5:$H$12,2,FALSE),0),IFERROR(VLOOKUP(G8,'Справочники'!$J$5:$K$12,2,FALSE),0)))</x:f>
        <x:v>0</x:v>
      </x:c>
      <x:c r="P8" s="36" t="str"/>
    </x:row>
    <x:row r="9" ht="44" customHeight="1">
      <x:c r="A9" s="39" t="str">
        <x:v>LV-M0</x:v>
      </x:c>
      <x:c r="B9" s="36" t="str">
        <x:v>LV — Market registered</x:v>
      </x:c>
      <x:c r="C9" s="36" t="str">
        <x:v>Market gate</x:v>
      </x:c>
      <x:c r="D9" s="42" t="str">
        <x:v>Draft</x:v>
      </x:c>
      <x:c r="E9" s="42" t="str">
        <x:v>Draft</x:v>
      </x:c>
      <x:c r="F9" s="42" t="str">
        <x:v>Отсутствует</x:v>
      </x:c>
      <x:c r="G9" s="42" t="str">
        <x:v>Не запускались</x:v>
      </x:c>
      <x:c r="H9" s="42" t="str">
        <x:v>Latvia M0</x:v>
      </x:c>
      <x:c r="I9" s="42" t="str">
        <x:v>P0</x:v>
      </x:c>
      <x:c r="J9" s="36" t="str">
        <x:v>Finalize MarketConfig owner/service area/flags</x:v>
      </x:c>
      <x:c r="K9" s="36" t="str">
        <x:v>Roadmap review</x:v>
      </x:c>
      <x:c r="L9" s="36" t="str">
        <x:v>Market owner</x:v>
      </x:c>
      <x:c r="M9" s="36" t="str">
        <x:v>docs/product/RECHARGE_BACKEND_LATVIA_IMPLEMENTATION_ROADMAP.md</x:v>
      </x:c>
      <x:c r="N9" s="45"/>
      <x:c r="O9" s="48" t="n">
        <x:f>IF(B9="","",AVERAGE(IFERROR(VLOOKUP(D9,'Справочники'!$A$5:$B$14,2,FALSE),0),IFERROR(VLOOKUP(E9,'Справочники'!$D$5:$E$12,2,FALSE),0),IFERROR(VLOOKUP(F9,'Справочники'!$G$5:$H$12,2,FALSE),0),IFERROR(VLOOKUP(G9,'Справочники'!$J$5:$K$12,2,FALSE),0)))</x:f>
        <x:v>0.1375</x:v>
      </x:c>
      <x:c r="P9" s="36" t="str"/>
    </x:row>
    <x:row r="10" ht="44" customHeight="1">
      <x:c r="A10" s="39" t="str">
        <x:v>LV-M1</x:v>
      </x:c>
      <x:c r="B10" s="36" t="str">
        <x:v>LV — Technical staging</x:v>
      </x:c>
      <x:c r="C10" s="36" t="str">
        <x:v>Market gate</x:v>
      </x:c>
      <x:c r="D10" s="42" t="str">
        <x:v>План</x:v>
      </x:c>
      <x:c r="E10" s="42" t="str">
        <x:v>Draft</x:v>
      </x:c>
      <x:c r="F10" s="42" t="str">
        <x:v>Отсутствует</x:v>
      </x:c>
      <x:c r="G10" s="42" t="str">
        <x:v>Не запускались</x:v>
      </x:c>
      <x:c r="H10" s="42" t="str">
        <x:v>Latvia M1</x:v>
      </x:c>
      <x:c r="I10" s="42" t="str">
        <x:v>P0</x:v>
      </x:c>
      <x:c r="J10" s="36" t="str">
        <x:v>Complete gate evidence</x:v>
      </x:c>
      <x:c r="K10" s="36" t="str">
        <x:v>Upstream backend/legal/ops</x:v>
      </x:c>
      <x:c r="L10" s="36" t="str">
        <x:v>Market owner</x:v>
      </x:c>
      <x:c r="M10" s="36" t="str">
        <x:v>docs/product/RECHARGE_BACKEND_LATVIA_IMPLEMENTATION_ROADMAP.md</x:v>
      </x:c>
      <x:c r="N10" s="45"/>
      <x:c r="O10" s="48" t="n">
        <x:f>IF(B10="","",AVERAGE(IFERROR(VLOOKUP(D10,'Справочники'!$A$5:$B$14,2,FALSE),0),IFERROR(VLOOKUP(E10,'Справочники'!$D$5:$E$12,2,FALSE),0),IFERROR(VLOOKUP(F10,'Справочники'!$G$5:$H$12,2,FALSE),0),IFERROR(VLOOKUP(G10,'Справочники'!$J$5:$K$12,2,FALSE),0)))</x:f>
        <x:v>0.0875</x:v>
      </x:c>
      <x:c r="P10" s="36" t="str"/>
    </x:row>
    <x:row r="11" ht="44" customHeight="1">
      <x:c r="A11" s="39" t="str">
        <x:v>LV-M2</x:v>
      </x:c>
      <x:c r="B11" s="36" t="str">
        <x:v>LV — Legal/Privacy ready</x:v>
      </x:c>
      <x:c r="C11" s="36" t="str">
        <x:v>Market gate</x:v>
      </x:c>
      <x:c r="D11" s="42" t="str">
        <x:v>План</x:v>
      </x:c>
      <x:c r="E11" s="42" t="str">
        <x:v>Draft</x:v>
      </x:c>
      <x:c r="F11" s="42" t="str">
        <x:v>Отсутствует</x:v>
      </x:c>
      <x:c r="G11" s="42" t="str">
        <x:v>Не запускались</x:v>
      </x:c>
      <x:c r="H11" s="42" t="str">
        <x:v>Latvia M2</x:v>
      </x:c>
      <x:c r="I11" s="42" t="str">
        <x:v>P0</x:v>
      </x:c>
      <x:c r="J11" s="36" t="str">
        <x:v>Complete gate evidence</x:v>
      </x:c>
      <x:c r="K11" s="36" t="str">
        <x:v>Upstream backend/legal/ops</x:v>
      </x:c>
      <x:c r="L11" s="36" t="str">
        <x:v>Market owner</x:v>
      </x:c>
      <x:c r="M11" s="36" t="str">
        <x:v>docs/product/RECHARGE_BACKEND_LATVIA_IMPLEMENTATION_ROADMAP.md</x:v>
      </x:c>
      <x:c r="N11" s="45"/>
      <x:c r="O11" s="48" t="n">
        <x:f>IF(B11="","",AVERAGE(IFERROR(VLOOKUP(D11,'Справочники'!$A$5:$B$14,2,FALSE),0),IFERROR(VLOOKUP(E11,'Справочники'!$D$5:$E$12,2,FALSE),0),IFERROR(VLOOKUP(F11,'Справочники'!$G$5:$H$12,2,FALSE),0),IFERROR(VLOOKUP(G11,'Справочники'!$J$5:$K$12,2,FALSE),0)))</x:f>
        <x:v>0.0875</x:v>
      </x:c>
      <x:c r="P11" s="36" t="str"/>
    </x:row>
    <x:row r="12" ht="44" customHeight="1">
      <x:c r="A12" s="39" t="str">
        <x:v>LV-M3</x:v>
      </x:c>
      <x:c r="B12" s="36" t="str">
        <x:v>LV — Operations ready</x:v>
      </x:c>
      <x:c r="C12" s="36" t="str">
        <x:v>Market gate</x:v>
      </x:c>
      <x:c r="D12" s="42" t="str">
        <x:v>План</x:v>
      </x:c>
      <x:c r="E12" s="42" t="str">
        <x:v>Draft</x:v>
      </x:c>
      <x:c r="F12" s="42" t="str">
        <x:v>Отсутствует</x:v>
      </x:c>
      <x:c r="G12" s="42" t="str">
        <x:v>Не запускались</x:v>
      </x:c>
      <x:c r="H12" s="42" t="str">
        <x:v>Latvia M3</x:v>
      </x:c>
      <x:c r="I12" s="42" t="str">
        <x:v>P0</x:v>
      </x:c>
      <x:c r="J12" s="36" t="str">
        <x:v>Complete gate evidence</x:v>
      </x:c>
      <x:c r="K12" s="36" t="str">
        <x:v>Upstream backend/legal/ops</x:v>
      </x:c>
      <x:c r="L12" s="36" t="str">
        <x:v>Market owner</x:v>
      </x:c>
      <x:c r="M12" s="36" t="str">
        <x:v>docs/product/RECHARGE_BACKEND_LATVIA_IMPLEMENTATION_ROADMAP.md</x:v>
      </x:c>
      <x:c r="N12" s="45"/>
      <x:c r="O12" s="48" t="n">
        <x:f>IF(B12="","",AVERAGE(IFERROR(VLOOKUP(D12,'Справочники'!$A$5:$B$14,2,FALSE),0),IFERROR(VLOOKUP(E12,'Справочники'!$D$5:$E$12,2,FALSE),0),IFERROR(VLOOKUP(F12,'Справочники'!$G$5:$H$12,2,FALSE),0),IFERROR(VLOOKUP(G12,'Справочники'!$J$5:$K$12,2,FALSE),0)))</x:f>
        <x:v>0.0875</x:v>
      </x:c>
      <x:c r="P12" s="36" t="str"/>
    </x:row>
    <x:row r="13" ht="44" customHeight="1">
      <x:c r="A13" s="39" t="str">
        <x:v>LV-M4</x:v>
      </x:c>
      <x:c r="B13" s="36" t="str">
        <x:v>LV — Cohort proven</x:v>
      </x:c>
      <x:c r="C13" s="36" t="str">
        <x:v>Market gate</x:v>
      </x:c>
      <x:c r="D13" s="42" t="str">
        <x:v>План</x:v>
      </x:c>
      <x:c r="E13" s="42" t="str">
        <x:v>Draft</x:v>
      </x:c>
      <x:c r="F13" s="42" t="str">
        <x:v>Отсутствует</x:v>
      </x:c>
      <x:c r="G13" s="42" t="str">
        <x:v>Не запускались</x:v>
      </x:c>
      <x:c r="H13" s="42" t="str">
        <x:v>Latvia M4</x:v>
      </x:c>
      <x:c r="I13" s="42" t="str">
        <x:v>P1</x:v>
      </x:c>
      <x:c r="J13" s="36" t="str">
        <x:v>Complete gate evidence</x:v>
      </x:c>
      <x:c r="K13" s="36" t="str">
        <x:v>Upstream backend/legal/ops</x:v>
      </x:c>
      <x:c r="L13" s="36" t="str">
        <x:v>Market owner</x:v>
      </x:c>
      <x:c r="M13" s="36" t="str">
        <x:v>docs/product/RECHARGE_BACKEND_LATVIA_IMPLEMENTATION_ROADMAP.md</x:v>
      </x:c>
      <x:c r="N13" s="45"/>
      <x:c r="O13" s="48" t="n">
        <x:f>IF(B13="","",AVERAGE(IFERROR(VLOOKUP(D13,'Справочники'!$A$5:$B$14,2,FALSE),0),IFERROR(VLOOKUP(E13,'Справочники'!$D$5:$E$12,2,FALSE),0),IFERROR(VLOOKUP(F13,'Справочники'!$G$5:$H$12,2,FALSE),0),IFERROR(VLOOKUP(G13,'Справочники'!$J$5:$K$12,2,FALSE),0)))</x:f>
        <x:v>0.0875</x:v>
      </x:c>
      <x:c r="P13" s="36" t="str"/>
    </x:row>
    <x:row r="14" ht="44" customHeight="1">
      <x:c r="A14" s="39" t="str">
        <x:v>LV-M5</x:v>
      </x:c>
      <x:c r="B14" s="36" t="str">
        <x:v>LV — Market GA</x:v>
      </x:c>
      <x:c r="C14" s="36" t="str">
        <x:v>Market gate</x:v>
      </x:c>
      <x:c r="D14" s="42" t="str">
        <x:v>План</x:v>
      </x:c>
      <x:c r="E14" s="42" t="str">
        <x:v>Draft</x:v>
      </x:c>
      <x:c r="F14" s="42" t="str">
        <x:v>Отсутствует</x:v>
      </x:c>
      <x:c r="G14" s="42" t="str">
        <x:v>Не запускались</x:v>
      </x:c>
      <x:c r="H14" s="42" t="str">
        <x:v>Latvia M5</x:v>
      </x:c>
      <x:c r="I14" s="42" t="str">
        <x:v>P1</x:v>
      </x:c>
      <x:c r="J14" s="36" t="str">
        <x:v>Complete gate evidence</x:v>
      </x:c>
      <x:c r="K14" s="36" t="str">
        <x:v>Upstream backend/legal/ops</x:v>
      </x:c>
      <x:c r="L14" s="36" t="str">
        <x:v>Market owner</x:v>
      </x:c>
      <x:c r="M14" s="36" t="str">
        <x:v>docs/product/RECHARGE_BACKEND_LATVIA_IMPLEMENTATION_ROADMAP.md</x:v>
      </x:c>
      <x:c r="N14" s="45"/>
      <x:c r="O14" s="48" t="n">
        <x:f>IF(B14="","",AVERAGE(IFERROR(VLOOKUP(D14,'Справочники'!$A$5:$B$14,2,FALSE),0),IFERROR(VLOOKUP(E14,'Справочники'!$D$5:$E$12,2,FALSE),0),IFERROR(VLOOKUP(F14,'Справочники'!$G$5:$H$12,2,FALSE),0),IFERROR(VLOOKUP(G14,'Справочники'!$J$5:$K$12,2,FALSE),0)))</x:f>
        <x:v>0.0875</x:v>
      </x:c>
      <x:c r="P14" s="36" t="str"/>
    </x:row>
    <x:row r="15" ht="44" customHeight="1">
      <x:c r="A15" s="39" t="str">
        <x:v>EE-M0</x:v>
      </x:c>
      <x:c r="B15" s="36" t="str">
        <x:v>EE — Market registered</x:v>
      </x:c>
      <x:c r="C15" s="36" t="str">
        <x:v>Market gate</x:v>
      </x:c>
      <x:c r="D15" s="42" t="str">
        <x:v>Draft</x:v>
      </x:c>
      <x:c r="E15" s="42" t="str">
        <x:v>Draft</x:v>
      </x:c>
      <x:c r="F15" s="42" t="str">
        <x:v>Отсутствует</x:v>
      </x:c>
      <x:c r="G15" s="42" t="str">
        <x:v>Не запускались</x:v>
      </x:c>
      <x:c r="H15" s="42" t="str">
        <x:v>EE independent gate</x:v>
      </x:c>
      <x:c r="I15" s="42" t="str">
        <x:v>P0</x:v>
      </x:c>
      <x:c r="J15" s="36" t="str">
        <x:v>Finalize MarketConfig owner/service area/flags</x:v>
      </x:c>
      <x:c r="K15" s="36" t="str">
        <x:v>Roadmap review</x:v>
      </x:c>
      <x:c r="L15" s="36" t="str">
        <x:v>Market owner</x:v>
      </x:c>
      <x:c r="M15" s="36" t="str">
        <x:v>docs/product/RECHARGE_BACKEND_LATVIA_IMPLEMENTATION_ROADMAP.md</x:v>
      </x:c>
      <x:c r="N15" s="45"/>
      <x:c r="O15" s="48" t="n">
        <x:f>IF(B15="","",AVERAGE(IFERROR(VLOOKUP(D15,'Справочники'!$A$5:$B$14,2,FALSE),0),IFERROR(VLOOKUP(E15,'Справочники'!$D$5:$E$12,2,FALSE),0),IFERROR(VLOOKUP(F15,'Справочники'!$G$5:$H$12,2,FALSE),0),IFERROR(VLOOKUP(G15,'Справочники'!$J$5:$K$12,2,FALSE),0)))</x:f>
        <x:v>0.1375</x:v>
      </x:c>
      <x:c r="P15" s="36" t="str"/>
    </x:row>
    <x:row r="16" ht="44" customHeight="1">
      <x:c r="A16" s="39" t="str">
        <x:v>EE-M1</x:v>
      </x:c>
      <x:c r="B16" s="36" t="str">
        <x:v>EE — Technical staging</x:v>
      </x:c>
      <x:c r="C16" s="36" t="str">
        <x:v>Market gate</x:v>
      </x:c>
      <x:c r="D16" s="42" t="str">
        <x:v>План</x:v>
      </x:c>
      <x:c r="E16" s="42" t="str">
        <x:v>Draft</x:v>
      </x:c>
      <x:c r="F16" s="42" t="str">
        <x:v>Отсутствует</x:v>
      </x:c>
      <x:c r="G16" s="42" t="str">
        <x:v>Не запускались</x:v>
      </x:c>
      <x:c r="H16" s="42" t="str">
        <x:v>EE independent gate</x:v>
      </x:c>
      <x:c r="I16" s="42" t="str">
        <x:v>P0</x:v>
      </x:c>
      <x:c r="J16" s="36" t="str">
        <x:v>Complete gate evidence</x:v>
      </x:c>
      <x:c r="K16" s="36" t="str">
        <x:v>Upstream backend/legal/ops</x:v>
      </x:c>
      <x:c r="L16" s="36" t="str">
        <x:v>Market owner</x:v>
      </x:c>
      <x:c r="M16" s="36" t="str">
        <x:v>docs/product/RECHARGE_BACKEND_LATVIA_IMPLEMENTATION_ROADMAP.md</x:v>
      </x:c>
      <x:c r="N16" s="45"/>
      <x:c r="O16" s="48" t="n">
        <x:f>IF(B16="","",AVERAGE(IFERROR(VLOOKUP(D16,'Справочники'!$A$5:$B$14,2,FALSE),0),IFERROR(VLOOKUP(E16,'Справочники'!$D$5:$E$12,2,FALSE),0),IFERROR(VLOOKUP(F16,'Справочники'!$G$5:$H$12,2,FALSE),0),IFERROR(VLOOKUP(G16,'Справочники'!$J$5:$K$12,2,FALSE),0)))</x:f>
        <x:v>0.0875</x:v>
      </x:c>
      <x:c r="P16" s="36" t="str"/>
    </x:row>
    <x:row r="17" ht="44" customHeight="1">
      <x:c r="A17" s="39" t="str">
        <x:v>EE-M2</x:v>
      </x:c>
      <x:c r="B17" s="36" t="str">
        <x:v>EE — Legal/Privacy ready</x:v>
      </x:c>
      <x:c r="C17" s="36" t="str">
        <x:v>Market gate</x:v>
      </x:c>
      <x:c r="D17" s="42" t="str">
        <x:v>План</x:v>
      </x:c>
      <x:c r="E17" s="42" t="str">
        <x:v>Draft</x:v>
      </x:c>
      <x:c r="F17" s="42" t="str">
        <x:v>Отсутствует</x:v>
      </x:c>
      <x:c r="G17" s="42" t="str">
        <x:v>Не запускались</x:v>
      </x:c>
      <x:c r="H17" s="42" t="str">
        <x:v>EE independent gate</x:v>
      </x:c>
      <x:c r="I17" s="42" t="str">
        <x:v>P0</x:v>
      </x:c>
      <x:c r="J17" s="36" t="str">
        <x:v>Complete gate evidence</x:v>
      </x:c>
      <x:c r="K17" s="36" t="str">
        <x:v>Upstream backend/legal/ops</x:v>
      </x:c>
      <x:c r="L17" s="36" t="str">
        <x:v>Market owner</x:v>
      </x:c>
      <x:c r="M17" s="36" t="str">
        <x:v>docs/product/RECHARGE_BACKEND_LATVIA_IMPLEMENTATION_ROADMAP.md</x:v>
      </x:c>
      <x:c r="N17" s="45"/>
      <x:c r="O17" s="48" t="n">
        <x:f>IF(B17="","",AVERAGE(IFERROR(VLOOKUP(D17,'Справочники'!$A$5:$B$14,2,FALSE),0),IFERROR(VLOOKUP(E17,'Справочники'!$D$5:$E$12,2,FALSE),0),IFERROR(VLOOKUP(F17,'Справочники'!$G$5:$H$12,2,FALSE),0),IFERROR(VLOOKUP(G17,'Справочники'!$J$5:$K$12,2,FALSE),0)))</x:f>
        <x:v>0.0875</x:v>
      </x:c>
      <x:c r="P17" s="36" t="str"/>
    </x:row>
    <x:row r="18" ht="44" customHeight="1">
      <x:c r="A18" s="39" t="str">
        <x:v>EE-M3</x:v>
      </x:c>
      <x:c r="B18" s="36" t="str">
        <x:v>EE — Operations ready</x:v>
      </x:c>
      <x:c r="C18" s="36" t="str">
        <x:v>Market gate</x:v>
      </x:c>
      <x:c r="D18" s="42" t="str">
        <x:v>План</x:v>
      </x:c>
      <x:c r="E18" s="42" t="str">
        <x:v>Draft</x:v>
      </x:c>
      <x:c r="F18" s="42" t="str">
        <x:v>Отсутствует</x:v>
      </x:c>
      <x:c r="G18" s="42" t="str">
        <x:v>Не запускались</x:v>
      </x:c>
      <x:c r="H18" s="42" t="str">
        <x:v>EE independent gate</x:v>
      </x:c>
      <x:c r="I18" s="42" t="str">
        <x:v>P0</x:v>
      </x:c>
      <x:c r="J18" s="36" t="str">
        <x:v>Complete gate evidence</x:v>
      </x:c>
      <x:c r="K18" s="36" t="str">
        <x:v>Upstream backend/legal/ops</x:v>
      </x:c>
      <x:c r="L18" s="36" t="str">
        <x:v>Market owner</x:v>
      </x:c>
      <x:c r="M18" s="36" t="str">
        <x:v>docs/product/RECHARGE_BACKEND_LATVIA_IMPLEMENTATION_ROADMAP.md</x:v>
      </x:c>
      <x:c r="N18" s="45"/>
      <x:c r="O18" s="48" t="n">
        <x:f>IF(B18="","",AVERAGE(IFERROR(VLOOKUP(D18,'Справочники'!$A$5:$B$14,2,FALSE),0),IFERROR(VLOOKUP(E18,'Справочники'!$D$5:$E$12,2,FALSE),0),IFERROR(VLOOKUP(F18,'Справочники'!$G$5:$H$12,2,FALSE),0),IFERROR(VLOOKUP(G18,'Справочники'!$J$5:$K$12,2,FALSE),0)))</x:f>
        <x:v>0.0875</x:v>
      </x:c>
      <x:c r="P18" s="36" t="str"/>
    </x:row>
    <x:row r="19" ht="44" customHeight="1">
      <x:c r="A19" s="39" t="str">
        <x:v>EE-M4</x:v>
      </x:c>
      <x:c r="B19" s="36" t="str">
        <x:v>EE — Cohort proven</x:v>
      </x:c>
      <x:c r="C19" s="36" t="str">
        <x:v>Market gate</x:v>
      </x:c>
      <x:c r="D19" s="42" t="str">
        <x:v>План</x:v>
      </x:c>
      <x:c r="E19" s="42" t="str">
        <x:v>Draft</x:v>
      </x:c>
      <x:c r="F19" s="42" t="str">
        <x:v>Отсутствует</x:v>
      </x:c>
      <x:c r="G19" s="42" t="str">
        <x:v>Не запускались</x:v>
      </x:c>
      <x:c r="H19" s="42" t="str">
        <x:v>EE independent gate</x:v>
      </x:c>
      <x:c r="I19" s="42" t="str">
        <x:v>P1</x:v>
      </x:c>
      <x:c r="J19" s="36" t="str">
        <x:v>Complete gate evidence</x:v>
      </x:c>
      <x:c r="K19" s="36" t="str">
        <x:v>Upstream backend/legal/ops</x:v>
      </x:c>
      <x:c r="L19" s="36" t="str">
        <x:v>Market owner</x:v>
      </x:c>
      <x:c r="M19" s="36" t="str">
        <x:v>docs/product/RECHARGE_BACKEND_LATVIA_IMPLEMENTATION_ROADMAP.md</x:v>
      </x:c>
      <x:c r="N19" s="45"/>
      <x:c r="O19" s="48" t="n">
        <x:f>IF(B19="","",AVERAGE(IFERROR(VLOOKUP(D19,'Справочники'!$A$5:$B$14,2,FALSE),0),IFERROR(VLOOKUP(E19,'Справочники'!$D$5:$E$12,2,FALSE),0),IFERROR(VLOOKUP(F19,'Справочники'!$G$5:$H$12,2,FALSE),0),IFERROR(VLOOKUP(G19,'Справочники'!$J$5:$K$12,2,FALSE),0)))</x:f>
        <x:v>0.0875</x:v>
      </x:c>
      <x:c r="P19" s="36" t="str"/>
    </x:row>
    <x:row r="20" ht="44" customHeight="1">
      <x:c r="A20" s="39" t="str">
        <x:v>EE-M5</x:v>
      </x:c>
      <x:c r="B20" s="36" t="str">
        <x:v>EE — Market GA</x:v>
      </x:c>
      <x:c r="C20" s="36" t="str">
        <x:v>Market gate</x:v>
      </x:c>
      <x:c r="D20" s="42" t="str">
        <x:v>План</x:v>
      </x:c>
      <x:c r="E20" s="42" t="str">
        <x:v>Draft</x:v>
      </x:c>
      <x:c r="F20" s="42" t="str">
        <x:v>Отсутствует</x:v>
      </x:c>
      <x:c r="G20" s="42" t="str">
        <x:v>Не запускались</x:v>
      </x:c>
      <x:c r="H20" s="42" t="str">
        <x:v>EE independent gate</x:v>
      </x:c>
      <x:c r="I20" s="42" t="str">
        <x:v>P1</x:v>
      </x:c>
      <x:c r="J20" s="36" t="str">
        <x:v>Complete gate evidence</x:v>
      </x:c>
      <x:c r="K20" s="36" t="str">
        <x:v>Upstream backend/legal/ops</x:v>
      </x:c>
      <x:c r="L20" s="36" t="str">
        <x:v>Market owner</x:v>
      </x:c>
      <x:c r="M20" s="36" t="str">
        <x:v>docs/product/RECHARGE_BACKEND_LATVIA_IMPLEMENTATION_ROADMAP.md</x:v>
      </x:c>
      <x:c r="N20" s="45"/>
      <x:c r="O20" s="48" t="n">
        <x:f>IF(B20="","",AVERAGE(IFERROR(VLOOKUP(D20,'Справочники'!$A$5:$B$14,2,FALSE),0),IFERROR(VLOOKUP(E20,'Справочники'!$D$5:$E$12,2,FALSE),0),IFERROR(VLOOKUP(F20,'Справочники'!$G$5:$H$12,2,FALSE),0),IFERROR(VLOOKUP(G20,'Справочники'!$J$5:$K$12,2,FALSE),0)))</x:f>
        <x:v>0.0875</x:v>
      </x:c>
      <x:c r="P20" s="36" t="str"/>
    </x:row>
    <x:row r="21" ht="44" customHeight="1">
      <x:c r="A21" s="39" t="str">
        <x:v>LT-M0</x:v>
      </x:c>
      <x:c r="B21" s="36" t="str">
        <x:v>LT — Market registered</x:v>
      </x:c>
      <x:c r="C21" s="36" t="str">
        <x:v>Market gate</x:v>
      </x:c>
      <x:c r="D21" s="42" t="str">
        <x:v>Draft</x:v>
      </x:c>
      <x:c r="E21" s="42" t="str">
        <x:v>Draft</x:v>
      </x:c>
      <x:c r="F21" s="42" t="str">
        <x:v>Отсутствует</x:v>
      </x:c>
      <x:c r="G21" s="42" t="str">
        <x:v>Не запускались</x:v>
      </x:c>
      <x:c r="H21" s="42" t="str">
        <x:v>LT independent gate</x:v>
      </x:c>
      <x:c r="I21" s="42" t="str">
        <x:v>P0</x:v>
      </x:c>
      <x:c r="J21" s="36" t="str">
        <x:v>Finalize MarketConfig owner/service area/flags</x:v>
      </x:c>
      <x:c r="K21" s="36" t="str">
        <x:v>Roadmap review</x:v>
      </x:c>
      <x:c r="L21" s="36" t="str">
        <x:v>Market owner</x:v>
      </x:c>
      <x:c r="M21" s="36" t="str">
        <x:v>docs/product/RECHARGE_BACKEND_LATVIA_IMPLEMENTATION_ROADMAP.md</x:v>
      </x:c>
      <x:c r="N21" s="45"/>
      <x:c r="O21" s="48" t="n">
        <x:f>IF(B21="","",AVERAGE(IFERROR(VLOOKUP(D21,'Справочники'!$A$5:$B$14,2,FALSE),0),IFERROR(VLOOKUP(E21,'Справочники'!$D$5:$E$12,2,FALSE),0),IFERROR(VLOOKUP(F21,'Справочники'!$G$5:$H$12,2,FALSE),0),IFERROR(VLOOKUP(G21,'Справочники'!$J$5:$K$12,2,FALSE),0)))</x:f>
        <x:v>0.1375</x:v>
      </x:c>
      <x:c r="P21" s="36" t="str"/>
    </x:row>
    <x:row r="22" ht="44" customHeight="1">
      <x:c r="A22" s="39" t="str">
        <x:v>LT-M1</x:v>
      </x:c>
      <x:c r="B22" s="36" t="str">
        <x:v>LT — Technical staging</x:v>
      </x:c>
      <x:c r="C22" s="36" t="str">
        <x:v>Market gate</x:v>
      </x:c>
      <x:c r="D22" s="42" t="str">
        <x:v>План</x:v>
      </x:c>
      <x:c r="E22" s="42" t="str">
        <x:v>Draft</x:v>
      </x:c>
      <x:c r="F22" s="42" t="str">
        <x:v>Отсутствует</x:v>
      </x:c>
      <x:c r="G22" s="42" t="str">
        <x:v>Не запускались</x:v>
      </x:c>
      <x:c r="H22" s="42" t="str">
        <x:v>LT independent gate</x:v>
      </x:c>
      <x:c r="I22" s="42" t="str">
        <x:v>P0</x:v>
      </x:c>
      <x:c r="J22" s="36" t="str">
        <x:v>Complete gate evidence</x:v>
      </x:c>
      <x:c r="K22" s="36" t="str">
        <x:v>Upstream backend/legal/ops</x:v>
      </x:c>
      <x:c r="L22" s="36" t="str">
        <x:v>Market owner</x:v>
      </x:c>
      <x:c r="M22" s="36" t="str">
        <x:v>docs/product/RECHARGE_BACKEND_LATVIA_IMPLEMENTATION_ROADMAP.md</x:v>
      </x:c>
      <x:c r="N22" s="45"/>
      <x:c r="O22" s="48" t="n">
        <x:f>IF(B22="","",AVERAGE(IFERROR(VLOOKUP(D22,'Справочники'!$A$5:$B$14,2,FALSE),0),IFERROR(VLOOKUP(E22,'Справочники'!$D$5:$E$12,2,FALSE),0),IFERROR(VLOOKUP(F22,'Справочники'!$G$5:$H$12,2,FALSE),0),IFERROR(VLOOKUP(G22,'Справочники'!$J$5:$K$12,2,FALSE),0)))</x:f>
        <x:v>0.0875</x:v>
      </x:c>
      <x:c r="P22" s="36" t="str"/>
    </x:row>
    <x:row r="23" ht="44" customHeight="1">
      <x:c r="A23" s="39" t="str">
        <x:v>LT-M2</x:v>
      </x:c>
      <x:c r="B23" s="36" t="str">
        <x:v>LT — Legal/Privacy ready</x:v>
      </x:c>
      <x:c r="C23" s="36" t="str">
        <x:v>Market gate</x:v>
      </x:c>
      <x:c r="D23" s="42" t="str">
        <x:v>План</x:v>
      </x:c>
      <x:c r="E23" s="42" t="str">
        <x:v>Draft</x:v>
      </x:c>
      <x:c r="F23" s="42" t="str">
        <x:v>Отсутствует</x:v>
      </x:c>
      <x:c r="G23" s="42" t="str">
        <x:v>Не запускались</x:v>
      </x:c>
      <x:c r="H23" s="42" t="str">
        <x:v>LT independent gate</x:v>
      </x:c>
      <x:c r="I23" s="42" t="str">
        <x:v>P0</x:v>
      </x:c>
      <x:c r="J23" s="36" t="str">
        <x:v>Complete gate evidence</x:v>
      </x:c>
      <x:c r="K23" s="36" t="str">
        <x:v>Upstream backend/legal/ops</x:v>
      </x:c>
      <x:c r="L23" s="36" t="str">
        <x:v>Market owner</x:v>
      </x:c>
      <x:c r="M23" s="36" t="str">
        <x:v>docs/product/RECHARGE_BACKEND_LATVIA_IMPLEMENTATION_ROADMAP.md</x:v>
      </x:c>
      <x:c r="N23" s="45"/>
      <x:c r="O23" s="48" t="n">
        <x:f>IF(B23="","",AVERAGE(IFERROR(VLOOKUP(D23,'Справочники'!$A$5:$B$14,2,FALSE),0),IFERROR(VLOOKUP(E23,'Справочники'!$D$5:$E$12,2,FALSE),0),IFERROR(VLOOKUP(F23,'Справочники'!$G$5:$H$12,2,FALSE),0),IFERROR(VLOOKUP(G23,'Справочники'!$J$5:$K$12,2,FALSE),0)))</x:f>
        <x:v>0.0875</x:v>
      </x:c>
      <x:c r="P23" s="36" t="str"/>
    </x:row>
    <x:row r="24" ht="44" customHeight="1">
      <x:c r="A24" s="39" t="str">
        <x:v>LT-M3</x:v>
      </x:c>
      <x:c r="B24" s="36" t="str">
        <x:v>LT — Operations ready</x:v>
      </x:c>
      <x:c r="C24" s="36" t="str">
        <x:v>Market gate</x:v>
      </x:c>
      <x:c r="D24" s="42" t="str">
        <x:v>План</x:v>
      </x:c>
      <x:c r="E24" s="42" t="str">
        <x:v>Draft</x:v>
      </x:c>
      <x:c r="F24" s="42" t="str">
        <x:v>Отсутствует</x:v>
      </x:c>
      <x:c r="G24" s="42" t="str">
        <x:v>Не запускались</x:v>
      </x:c>
      <x:c r="H24" s="42" t="str">
        <x:v>LT independent gate</x:v>
      </x:c>
      <x:c r="I24" s="42" t="str">
        <x:v>P0</x:v>
      </x:c>
      <x:c r="J24" s="36" t="str">
        <x:v>Complete gate evidence</x:v>
      </x:c>
      <x:c r="K24" s="36" t="str">
        <x:v>Upstream backend/legal/ops</x:v>
      </x:c>
      <x:c r="L24" s="36" t="str">
        <x:v>Market owner</x:v>
      </x:c>
      <x:c r="M24" s="36" t="str">
        <x:v>docs/product/RECHARGE_BACKEND_LATVIA_IMPLEMENTATION_ROADMAP.md</x:v>
      </x:c>
      <x:c r="N24" s="45"/>
      <x:c r="O24" s="48" t="n">
        <x:f>IF(B24="","",AVERAGE(IFERROR(VLOOKUP(D24,'Справочники'!$A$5:$B$14,2,FALSE),0),IFERROR(VLOOKUP(E24,'Справочники'!$D$5:$E$12,2,FALSE),0),IFERROR(VLOOKUP(F24,'Справочники'!$G$5:$H$12,2,FALSE),0),IFERROR(VLOOKUP(G24,'Справочники'!$J$5:$K$12,2,FALSE),0)))</x:f>
        <x:v>0.0875</x:v>
      </x:c>
      <x:c r="P24" s="36" t="str"/>
    </x:row>
    <x:row r="25" ht="44" customHeight="1">
      <x:c r="A25" s="39" t="str">
        <x:v>LT-M4</x:v>
      </x:c>
      <x:c r="B25" s="36" t="str">
        <x:v>LT — Cohort proven</x:v>
      </x:c>
      <x:c r="C25" s="36" t="str">
        <x:v>Market gate</x:v>
      </x:c>
      <x:c r="D25" s="42" t="str">
        <x:v>План</x:v>
      </x:c>
      <x:c r="E25" s="42" t="str">
        <x:v>Draft</x:v>
      </x:c>
      <x:c r="F25" s="42" t="str">
        <x:v>Отсутствует</x:v>
      </x:c>
      <x:c r="G25" s="42" t="str">
        <x:v>Не запускались</x:v>
      </x:c>
      <x:c r="H25" s="42" t="str">
        <x:v>LT independent gate</x:v>
      </x:c>
      <x:c r="I25" s="42" t="str">
        <x:v>P1</x:v>
      </x:c>
      <x:c r="J25" s="36" t="str">
        <x:v>Complete gate evidence</x:v>
      </x:c>
      <x:c r="K25" s="36" t="str">
        <x:v>Upstream backend/legal/ops</x:v>
      </x:c>
      <x:c r="L25" s="36" t="str">
        <x:v>Market owner</x:v>
      </x:c>
      <x:c r="M25" s="36" t="str">
        <x:v>docs/product/RECHARGE_BACKEND_LATVIA_IMPLEMENTATION_ROADMAP.md</x:v>
      </x:c>
      <x:c r="N25" s="45"/>
      <x:c r="O25" s="48" t="n">
        <x:f>IF(B25="","",AVERAGE(IFERROR(VLOOKUP(D25,'Справочники'!$A$5:$B$14,2,FALSE),0),IFERROR(VLOOKUP(E25,'Справочники'!$D$5:$E$12,2,FALSE),0),IFERROR(VLOOKUP(F25,'Справочники'!$G$5:$H$12,2,FALSE),0),IFERROR(VLOOKUP(G25,'Справочники'!$J$5:$K$12,2,FALSE),0)))</x:f>
        <x:v>0.0875</x:v>
      </x:c>
      <x:c r="P25" s="36" t="str"/>
    </x:row>
    <x:row r="26" ht="44" customHeight="1">
      <x:c r="A26" s="39" t="str">
        <x:v>LT-M5</x:v>
      </x:c>
      <x:c r="B26" s="36" t="str">
        <x:v>LT — Market GA</x:v>
      </x:c>
      <x:c r="C26" s="36" t="str">
        <x:v>Market gate</x:v>
      </x:c>
      <x:c r="D26" s="42" t="str">
        <x:v>План</x:v>
      </x:c>
      <x:c r="E26" s="42" t="str">
        <x:v>Draft</x:v>
      </x:c>
      <x:c r="F26" s="42" t="str">
        <x:v>Отсутствует</x:v>
      </x:c>
      <x:c r="G26" s="42" t="str">
        <x:v>Не запускались</x:v>
      </x:c>
      <x:c r="H26" s="42" t="str">
        <x:v>LT independent gate</x:v>
      </x:c>
      <x:c r="I26" s="42" t="str">
        <x:v>P1</x:v>
      </x:c>
      <x:c r="J26" s="36" t="str">
        <x:v>Complete gate evidence</x:v>
      </x:c>
      <x:c r="K26" s="36" t="str">
        <x:v>Upstream backend/legal/ops</x:v>
      </x:c>
      <x:c r="L26" s="36" t="str">
        <x:v>Market owner</x:v>
      </x:c>
      <x:c r="M26" s="36" t="str">
        <x:v>docs/product/RECHARGE_BACKEND_LATVIA_IMPLEMENTATION_ROADMAP.md</x:v>
      </x:c>
      <x:c r="N26" s="45"/>
      <x:c r="O26" s="48" t="n">
        <x:f>IF(B26="","",AVERAGE(IFERROR(VLOOKUP(D26,'Справочники'!$A$5:$B$14,2,FALSE),0),IFERROR(VLOOKUP(E26,'Справочники'!$D$5:$E$12,2,FALSE),0),IFERROR(VLOOKUP(F26,'Справочники'!$G$5:$H$12,2,FALSE),0),IFERROR(VLOOKUP(G26,'Справочники'!$J$5:$K$12,2,FALSE),0)))</x:f>
        <x:v>0.0875</x:v>
      </x:c>
      <x:c r="P26" s="36" t="str"/>
    </x:row>
    <x:row r="27" ht="44" customHeight="1">
      <x:c r="A27" s="39" t="str">
        <x:v>MKT-R11</x:v>
      </x:c>
      <x:c r="B27" s="36" t="str">
        <x:v>Production cohort</x:v>
      </x:c>
      <x:c r="C27" s="36" t="str">
        <x:v>Backend/market join</x:v>
      </x:c>
      <x:c r="D27" s="42" t="str">
        <x:v>План</x:v>
      </x:c>
      <x:c r="E27" s="42" t="str">
        <x:v>Approved</x:v>
      </x:c>
      <x:c r="F27" s="42" t="str">
        <x:v>Отсутствует</x:v>
      </x:c>
      <x:c r="G27" s="42" t="str">
        <x:v>Не запускались</x:v>
      </x:c>
      <x:c r="H27" s="42" t="str">
        <x:v>G6 / R11</x:v>
      </x:c>
      <x:c r="I27" s="42" t="str">
        <x:v>P1</x:v>
      </x:c>
      <x:c r="J27" s="36" t="str">
        <x:v>Bounded Latvia cohort</x:v>
      </x:c>
      <x:c r="K27" s="36" t="str">
        <x:v>Backend + legal + ops</x:v>
      </x:c>
      <x:c r="L27" s="36" t="str">
        <x:v>Launch owner</x:v>
      </x:c>
      <x:c r="M27" s="36" t="str">
        <x:v>docs/product/RECHARGE_BACKEND_DELIVERY_MAP.md</x:v>
      </x:c>
      <x:c r="N27" s="45"/>
      <x:c r="O27" s="48" t="n">
        <x:f>IF(B27="","",AVERAGE(IFERROR(VLOOKUP(D27,'Справочники'!$A$5:$B$14,2,FALSE),0),IFERROR(VLOOKUP(E27,'Справочники'!$D$5:$E$12,2,FALSE),0),IFERROR(VLOOKUP(F27,'Справочники'!$G$5:$H$12,2,FALSE),0),IFERROR(VLOOKUP(G27,'Справочники'!$J$5:$K$12,2,FALSE),0)))</x:f>
        <x:v>0.25</x:v>
      </x:c>
      <x:c r="P27" s="36" t="str"/>
    </x:row>
    <x:row r="28" ht="44" customHeight="1">
      <x:c r="A28" s="39" t="str">
        <x:v>MKT-R12</x:v>
      </x:c>
      <x:c r="B28" s="36" t="str">
        <x:v>General Availability</x:v>
      </x:c>
      <x:c r="C28" s="36" t="str">
        <x:v>Backend/market join</x:v>
      </x:c>
      <x:c r="D28" s="42" t="str">
        <x:v>План</x:v>
      </x:c>
      <x:c r="E28" s="42" t="str">
        <x:v>Approved</x:v>
      </x:c>
      <x:c r="F28" s="42" t="str">
        <x:v>Отсутствует</x:v>
      </x:c>
      <x:c r="G28" s="42" t="str">
        <x:v>Не запускались</x:v>
      </x:c>
      <x:c r="H28" s="42" t="str">
        <x:v>G7 / R12</x:v>
      </x:c>
      <x:c r="I28" s="42" t="str">
        <x:v>P1</x:v>
      </x:c>
      <x:c r="J28" s="36" t="str">
        <x:v>Sustained SLO/cost/support evidence</x:v>
      </x:c>
      <x:c r="K28" s="36" t="str">
        <x:v>R11 proof</x:v>
      </x:c>
      <x:c r="L28" s="36" t="str">
        <x:v>Launch owner</x:v>
      </x:c>
      <x:c r="M28" s="36" t="str">
        <x:v>docs/product/RECHARGE_BACKEND_DELIVERY_MAP.md</x:v>
      </x:c>
      <x:c r="N28" s="45"/>
      <x:c r="O28" s="48" t="n">
        <x:f>IF(B28="","",AVERAGE(IFERROR(VLOOKUP(D28,'Справочники'!$A$5:$B$14,2,FALSE),0),IFERROR(VLOOKUP(E28,'Справочники'!$D$5:$E$12,2,FALSE),0),IFERROR(VLOOKUP(F28,'Справочники'!$G$5:$H$12,2,FALSE),0),IFERROR(VLOOKUP(G28,'Справочники'!$J$5:$K$12,2,FALSE),0)))</x:f>
        <x:v>0.25</x:v>
      </x:c>
      <x:c r="P28" s="36" t="str"/>
    </x:row>
    <x:row r="29" ht="44" customHeight="1">
      <x:c r="A29" s="39" t="str">
        <x:v>MKT-M10</x:v>
      </x:c>
      <x:c r="B29" s="36" t="str">
        <x:v>Legacy cleanup</x:v>
      </x:c>
      <x:c r="C29" s="36" t="str">
        <x:v>Mobile/market join</x:v>
      </x:c>
      <x:c r="D29" s="42" t="str">
        <x:v>План</x:v>
      </x:c>
      <x:c r="E29" s="42" t="str">
        <x:v>Approved</x:v>
      </x:c>
      <x:c r="F29" s="42" t="str">
        <x:v>Не требуется</x:v>
      </x:c>
      <x:c r="G29" s="42" t="str">
        <x:v>Не запускались</x:v>
      </x:c>
      <x:c r="H29" s="42" t="str">
        <x:v>After LV and Baltic cohort paths</x:v>
      </x:c>
      <x:c r="I29" s="42" t="str">
        <x:v>P3</x:v>
      </x:c>
      <x:c r="J29" s="36" t="str">
        <x:v>Consumer-zero deletion only</x:v>
      </x:c>
      <x:c r="K29" s="36" t="str">
        <x:v>Observation</x:v>
      </x:c>
      <x:c r="L29" s="36" t="str">
        <x:v>Architecture</x:v>
      </x:c>
      <x:c r="M29" s="36" t="str">
        <x:v>docs/product/SCENARIO_QUICK_PLAN_BOUNDARY_MIGRATION_SLICE_SPEC.md</x:v>
      </x:c>
      <x:c r="N29" s="45"/>
      <x:c r="O29" s="48" t="n">
        <x:f>IF(B29="","",AVERAGE(IFERROR(VLOOKUP(D29,'Справочники'!$A$5:$B$14,2,FALSE),0),IFERROR(VLOOKUP(E29,'Справочники'!$D$5:$E$12,2,FALSE),0),IFERROR(VLOOKUP(F29,'Справочники'!$G$5:$H$12,2,FALSE),0),IFERROR(VLOOKUP(G29,'Справочники'!$J$5:$K$12,2,FALSE),0)))</x:f>
        <x:v>0.5</x:v>
      </x:c>
      <x:c r="P29" s="36" t="str"/>
    </x:row>
    <x:row r="30" ht="44" customHeight="1">
      <x:c r="A30" s="39" t="str">
        <x:v>S3-REL-01</x:v>
      </x:c>
      <x:c r="B30" s="36" t="str">
        <x:v>Historical release-readiness slice</x:v>
      </x:c>
      <x:c r="C30" s="36" t="str">
        <x:v>Local release checkpoint</x:v>
      </x:c>
      <x:c r="D30" s="42" t="str">
        <x:v>Готово local/mock</x:v>
      </x:c>
      <x:c r="E30" s="42" t="str">
        <x:v>Approved</x:v>
      </x:c>
      <x:c r="F30" s="42" t="str">
        <x:v>Local/mock</x:v>
      </x:c>
      <x:c r="G30" s="42" t="str">
        <x:v>Исторические зелёные</x:v>
      </x:c>
      <x:c r="H30" s="42" t="str">
        <x:v>Done checkpoint</x:v>
      </x:c>
      <x:c r="I30" s="42" t="str">
        <x:v>P1</x:v>
      </x:c>
      <x:c r="J30" s="36" t="str">
        <x:v>Не путать с production GA</x:v>
      </x:c>
      <x:c r="K30" s="36" t="str">
        <x:v>Backend/legal/market gates remain</x:v>
      </x:c>
      <x:c r="L30" s="36" t="str">
        <x:v>Release</x:v>
      </x:c>
      <x:c r="M30" s="36" t="str">
        <x:v>docs/product/S3_REL_01_RELEASE_READINESS_SPEC.md</x:v>
      </x:c>
      <x:c r="N30" s="45" t="n">
        <x:v>46250.5</x:v>
      </x:c>
      <x:c r="O30" s="48" t="n">
        <x:f>IF(B30="","",AVERAGE(IFERROR(VLOOKUP(D30,'Справочники'!$A$5:$B$14,2,FALSE),0),IFERROR(VLOOKUP(E30,'Справочники'!$D$5:$E$12,2,FALSE),0),IFERROR(VLOOKUP(F30,'Справочники'!$G$5:$H$12,2,FALSE),0),IFERROR(VLOOKUP(G30,'Справочники'!$J$5:$K$12,2,FALSE),0)))</x:f>
        <x:v>0.7375</x:v>
      </x:c>
      <x:c r="P30" s="36" t="str"/>
    </x:row>
    <x:row r="31" ht="44" customHeight="1">
      <x:c r="A31" s="39" t="str">
        <x:v>MKT-PROD-00</x:v>
      </x:c>
      <x:c r="B31" s="36" t="str">
        <x:v>Current production launch</x:v>
      </x:c>
      <x:c r="C31" s="36" t="str">
        <x:v>Market runtime</x:v>
      </x:c>
      <x:c r="D31" s="42" t="str">
        <x:v>Отсутствует</x:v>
      </x:c>
      <x:c r="E31" s="42" t="str">
        <x:v>Draft</x:v>
      </x:c>
      <x:c r="F31" s="42" t="str">
        <x:v>Отсутствует</x:v>
      </x:c>
      <x:c r="G31" s="42" t="str">
        <x:v>Не запускались</x:v>
      </x:c>
      <x:c r="H31" s="42" t="str">
        <x:v>G6/G7 + R11/R12</x:v>
      </x:c>
      <x:c r="I31" s="42" t="str">
        <x:v>P0</x:v>
      </x:c>
      <x:c r="J31" s="36" t="str">
        <x:v>Complete Latvia legal/ops/cohort then GA</x:v>
      </x:c>
      <x:c r="K31" s="36" t="str">
        <x:v>Backend/Identity/localization absent</x:v>
      </x:c>
      <x:c r="L31" s="36" t="str">
        <x:v>Launch owner</x:v>
      </x:c>
      <x:c r="M31" s="36" t="str">
        <x:v>docs/product/RECHARGE_BACKEND_LATVIA_IMPLEMENTATION_ROADMAP.md</x:v>
      </x:c>
      <x:c r="N31" s="45" t="n">
        <x:v>46250.5</x:v>
      </x:c>
      <x:c r="O31" s="48" t="n">
        <x:f>IF(B31="","",AVERAGE(IFERROR(VLOOKUP(D31,'Справочники'!$A$5:$B$14,2,FALSE),0),IFERROR(VLOOKUP(E31,'Справочники'!$D$5:$E$12,2,FALSE),0),IFERROR(VLOOKUP(F31,'Справочники'!$G$5:$H$12,2,FALSE),0),IFERROR(VLOOKUP(G31,'Справочники'!$J$5:$K$12,2,FALSE),0)))</x:f>
        <x:v>0.0625</x:v>
      </x:c>
      <x:c r="P31" s="36" t="str"/>
    </x:row>
    <x:row r="32" ht="44" customHeight="1">
      <x:c r="A32" s="39" t="str">
        <x:v>MKT-BALTIC-FLAGS</x:v>
      </x:c>
      <x:c r="B32" s="36" t="str">
        <x:v>EE/LT independent activation</x:v>
      </x:c>
      <x:c r="C32" s="36" t="str">
        <x:v>Market control</x:v>
      </x:c>
      <x:c r="D32" s="42" t="str">
        <x:v>План</x:v>
      </x:c>
      <x:c r="E32" s="42" t="str">
        <x:v>Draft</x:v>
      </x:c>
      <x:c r="F32" s="42" t="str">
        <x:v>Отсутствует</x:v>
      </x:c>
      <x:c r="G32" s="42" t="str">
        <x:v>Не запускались</x:v>
      </x:c>
      <x:c r="H32" s="42" t="str">
        <x:v>Independent M0–M5</x:v>
      </x:c>
      <x:c r="I32" s="42" t="str">
        <x:v>P1</x:v>
      </x:c>
      <x:c r="J32" s="36" t="str">
        <x:v>Keep disabled-by-default server flags</x:v>
      </x:c>
      <x:c r="K32" s="36" t="str">
        <x:v>Backend config absent</x:v>
      </x:c>
      <x:c r="L32" s="36" t="str">
        <x:v>Reference Data / Launch</x:v>
      </x:c>
      <x:c r="M32" s="36" t="str">
        <x:v>docs/product/RECHARGE_BACKEND_LATVIA_IMPLEMENTATION_ROADMAP.md</x:v>
      </x:c>
      <x:c r="N32" s="45" t="n">
        <x:v>46250.5</x:v>
      </x:c>
      <x:c r="O32" s="48" t="n">
        <x:f>IF(B32="","",AVERAGE(IFERROR(VLOOKUP(D32,'Справочники'!$A$5:$B$14,2,FALSE),0),IFERROR(VLOOKUP(E32,'Справочники'!$D$5:$E$12,2,FALSE),0),IFERROR(VLOOKUP(F32,'Справочники'!$G$5:$H$12,2,FALSE),0),IFERROR(VLOOKUP(G32,'Справочники'!$J$5:$K$12,2,FALSE),0)))</x:f>
        <x:v>0.0875</x:v>
      </x:c>
      <x:c r="P32" s="36" t="str"/>
    </x:row>
    <x:row r="33" ht="44" customHeight="1">
      <x:c r="A33" s="39"/>
      <x:c r="B33" s="36"/>
      <x:c r="C33" s="36"/>
      <x:c r="D33" s="42"/>
      <x:c r="E33" s="42"/>
      <x:c r="F33" s="42"/>
      <x:c r="G33" s="42"/>
      <x:c r="H33" s="42"/>
      <x:c r="I33" s="42"/>
      <x:c r="J33" s="36"/>
      <x:c r="K33" s="36"/>
      <x:c r="L33" s="36"/>
      <x:c r="M33" s="36"/>
      <x:c r="N33" s="45"/>
      <x:c r="O33" s="48" t="str">
        <x:f>IF(B33="","",AVERAGE(IFERROR(VLOOKUP(D33,'Справочники'!$A$5:$B$14,2,FALSE),0),IFERROR(VLOOKUP(E33,'Справочники'!$D$5:$E$12,2,FALSE),0),IFERROR(VLOOKUP(F33,'Справочники'!$G$5:$H$12,2,FALSE),0),IFERROR(VLOOKUP(G33,'Справочники'!$J$5:$K$12,2,FALSE),0)))</x:f>
      </x:c>
      <x:c r="P33" s="36"/>
    </x:row>
    <x:row r="34" ht="44" customHeight="1">
      <x:c r="A34" s="39"/>
      <x:c r="B34" s="36"/>
      <x:c r="C34" s="36"/>
      <x:c r="D34" s="42"/>
      <x:c r="E34" s="42"/>
      <x:c r="F34" s="42"/>
      <x:c r="G34" s="42"/>
      <x:c r="H34" s="42"/>
      <x:c r="I34" s="42"/>
      <x:c r="J34" s="36"/>
      <x:c r="K34" s="36"/>
      <x:c r="L34" s="36"/>
      <x:c r="M34" s="36"/>
      <x:c r="N34" s="45"/>
      <x:c r="O34" s="48" t="str">
        <x:f>IF(B34="","",AVERAGE(IFERROR(VLOOKUP(D34,'Справочники'!$A$5:$B$14,2,FALSE),0),IFERROR(VLOOKUP(E34,'Справочники'!$D$5:$E$12,2,FALSE),0),IFERROR(VLOOKUP(F34,'Справочники'!$G$5:$H$12,2,FALSE),0),IFERROR(VLOOKUP(G34,'Справочники'!$J$5:$K$12,2,FALSE),0)))</x:f>
      </x:c>
      <x:c r="P34" s="36"/>
    </x:row>
    <x:row r="35" ht="44" customHeight="1">
      <x:c r="A35" s="39"/>
      <x:c r="B35" s="36"/>
      <x:c r="C35" s="36"/>
      <x:c r="D35" s="42"/>
      <x:c r="E35" s="42"/>
      <x:c r="F35" s="42"/>
      <x:c r="G35" s="42"/>
      <x:c r="H35" s="42"/>
      <x:c r="I35" s="42"/>
      <x:c r="J35" s="36"/>
      <x:c r="K35" s="36"/>
      <x:c r="L35" s="36"/>
      <x:c r="M35" s="36"/>
      <x:c r="N35" s="45"/>
      <x:c r="O35" s="48" t="str">
        <x:f>IF(B35="","",AVERAGE(IFERROR(VLOOKUP(D35,'Справочники'!$A$5:$B$14,2,FALSE),0),IFERROR(VLOOKUP(E35,'Справочники'!$D$5:$E$12,2,FALSE),0),IFERROR(VLOOKUP(F35,'Справочники'!$G$5:$H$12,2,FALSE),0),IFERROR(VLOOKUP(G35,'Справочники'!$J$5:$K$12,2,FALSE),0)))</x:f>
      </x:c>
      <x:c r="P35" s="36"/>
    </x:row>
    <x:row r="36" ht="44" customHeight="1">
      <x:c r="A36" s="39"/>
      <x:c r="B36" s="36"/>
      <x:c r="C36" s="36"/>
      <x:c r="D36" s="42"/>
      <x:c r="E36" s="42"/>
      <x:c r="F36" s="42"/>
      <x:c r="G36" s="42"/>
      <x:c r="H36" s="42"/>
      <x:c r="I36" s="42"/>
      <x:c r="J36" s="36"/>
      <x:c r="K36" s="36"/>
      <x:c r="L36" s="36"/>
      <x:c r="M36" s="36"/>
      <x:c r="N36" s="45"/>
      <x:c r="O36" s="48" t="str">
        <x:f>IF(B36="","",AVERAGE(IFERROR(VLOOKUP(D36,'Справочники'!$A$5:$B$14,2,FALSE),0),IFERROR(VLOOKUP(E36,'Справочники'!$D$5:$E$12,2,FALSE),0),IFERROR(VLOOKUP(F36,'Справочники'!$G$5:$H$12,2,FALSE),0),IFERROR(VLOOKUP(G36,'Справочники'!$J$5:$K$12,2,FALSE),0)))</x:f>
      </x:c>
      <x:c r="P36" s="36"/>
    </x:row>
    <x:row r="37" ht="44" customHeight="1">
      <x:c r="A37" s="39"/>
      <x:c r="B37" s="36"/>
      <x:c r="C37" s="36"/>
      <x:c r="D37" s="42"/>
      <x:c r="E37" s="42"/>
      <x:c r="F37" s="42"/>
      <x:c r="G37" s="42"/>
      <x:c r="H37" s="42"/>
      <x:c r="I37" s="42"/>
      <x:c r="J37" s="36"/>
      <x:c r="K37" s="36"/>
      <x:c r="L37" s="36"/>
      <x:c r="M37" s="36"/>
      <x:c r="N37" s="45"/>
      <x:c r="O37" s="48" t="str">
        <x:f>IF(B37="","",AVERAGE(IFERROR(VLOOKUP(D37,'Справочники'!$A$5:$B$14,2,FALSE),0),IFERROR(VLOOKUP(E37,'Справочники'!$D$5:$E$12,2,FALSE),0),IFERROR(VLOOKUP(F37,'Справочники'!$G$5:$H$12,2,FALSE),0),IFERROR(VLOOKUP(G37,'Справочники'!$J$5:$K$12,2,FALSE),0)))</x:f>
      </x:c>
      <x:c r="P37" s="36"/>
    </x:row>
    <x:row r="38" ht="44" customHeight="1">
      <x:c r="A38" s="39"/>
      <x:c r="B38" s="36"/>
      <x:c r="C38" s="36"/>
      <x:c r="D38" s="42"/>
      <x:c r="E38" s="42"/>
      <x:c r="F38" s="42"/>
      <x:c r="G38" s="42"/>
      <x:c r="H38" s="42"/>
      <x:c r="I38" s="42"/>
      <x:c r="J38" s="36"/>
      <x:c r="K38" s="36"/>
      <x:c r="L38" s="36"/>
      <x:c r="M38" s="36"/>
      <x:c r="N38" s="45"/>
      <x:c r="O38" s="48" t="str">
        <x:f>IF(B38="","",AVERAGE(IFERROR(VLOOKUP(D38,'Справочники'!$A$5:$B$14,2,FALSE),0),IFERROR(VLOOKUP(E38,'Справочники'!$D$5:$E$12,2,FALSE),0),IFERROR(VLOOKUP(F38,'Справочники'!$G$5:$H$12,2,FALSE),0),IFERROR(VLOOKUP(G38,'Справочники'!$J$5:$K$12,2,FALSE),0)))</x:f>
      </x:c>
      <x:c r="P38" s="36"/>
    </x:row>
    <x:row r="39" ht="44" customHeight="1">
      <x:c r="A39" s="39"/>
      <x:c r="B39" s="36"/>
      <x:c r="C39" s="36"/>
      <x:c r="D39" s="42"/>
      <x:c r="E39" s="42"/>
      <x:c r="F39" s="42"/>
      <x:c r="G39" s="42"/>
      <x:c r="H39" s="42"/>
      <x:c r="I39" s="42"/>
      <x:c r="J39" s="36"/>
      <x:c r="K39" s="36"/>
      <x:c r="L39" s="36"/>
      <x:c r="M39" s="36"/>
      <x:c r="N39" s="45"/>
      <x:c r="O39" s="48" t="str">
        <x:f>IF(B39="","",AVERAGE(IFERROR(VLOOKUP(D39,'Справочники'!$A$5:$B$14,2,FALSE),0),IFERROR(VLOOKUP(E39,'Справочники'!$D$5:$E$12,2,FALSE),0),IFERROR(VLOOKUP(F39,'Справочники'!$G$5:$H$12,2,FALSE),0),IFERROR(VLOOKUP(G39,'Справочники'!$J$5:$K$12,2,FALSE),0)))</x:f>
      </x:c>
      <x:c r="P39" s="36"/>
    </x:row>
    <x:row r="40" ht="44" customHeight="1">
      <x:c r="A40" s="39"/>
      <x:c r="B40" s="36"/>
      <x:c r="C40" s="36"/>
      <x:c r="D40" s="42"/>
      <x:c r="E40" s="42"/>
      <x:c r="F40" s="42"/>
      <x:c r="G40" s="42"/>
      <x:c r="H40" s="42"/>
      <x:c r="I40" s="42"/>
      <x:c r="J40" s="36"/>
      <x:c r="K40" s="36"/>
      <x:c r="L40" s="36"/>
      <x:c r="M40" s="36"/>
      <x:c r="N40" s="45"/>
      <x:c r="O40" s="48" t="str">
        <x:f>IF(B40="","",AVERAGE(IFERROR(VLOOKUP(D40,'Справочники'!$A$5:$B$14,2,FALSE),0),IFERROR(VLOOKUP(E40,'Справочники'!$D$5:$E$12,2,FALSE),0),IFERROR(VLOOKUP(F40,'Справочники'!$G$5:$H$12,2,FALSE),0),IFERROR(VLOOKUP(G40,'Справочники'!$J$5:$K$12,2,FALSE),0)))</x:f>
      </x:c>
      <x:c r="P40" s="36"/>
    </x:row>
    <x:row r="41" ht="44" customHeight="1">
      <x:c r="A41" s="39"/>
      <x:c r="B41" s="36"/>
      <x:c r="C41" s="36"/>
      <x:c r="D41" s="42"/>
      <x:c r="E41" s="42"/>
      <x:c r="F41" s="42"/>
      <x:c r="G41" s="42"/>
      <x:c r="H41" s="42"/>
      <x:c r="I41" s="42"/>
      <x:c r="J41" s="36"/>
      <x:c r="K41" s="36"/>
      <x:c r="L41" s="36"/>
      <x:c r="M41" s="36"/>
      <x:c r="N41" s="45"/>
      <x:c r="O41" s="48" t="str">
        <x:f>IF(B41="","",AVERAGE(IFERROR(VLOOKUP(D41,'Справочники'!$A$5:$B$14,2,FALSE),0),IFERROR(VLOOKUP(E41,'Справочники'!$D$5:$E$12,2,FALSE),0),IFERROR(VLOOKUP(F41,'Справочники'!$G$5:$H$12,2,FALSE),0),IFERROR(VLOOKUP(G41,'Справочники'!$J$5:$K$12,2,FALSE),0)))</x:f>
      </x:c>
      <x:c r="P41" s="36"/>
    </x:row>
    <x:row r="42" ht="44" customHeight="1">
      <x:c r="A42" s="39"/>
      <x:c r="B42" s="36"/>
      <x:c r="C42" s="36"/>
      <x:c r="D42" s="42"/>
      <x:c r="E42" s="42"/>
      <x:c r="F42" s="42"/>
      <x:c r="G42" s="42"/>
      <x:c r="H42" s="42"/>
      <x:c r="I42" s="42"/>
      <x:c r="J42" s="36"/>
      <x:c r="K42" s="36"/>
      <x:c r="L42" s="36"/>
      <x:c r="M42" s="36"/>
      <x:c r="N42" s="45"/>
      <x:c r="O42" s="48" t="str">
        <x:f>IF(B42="","",AVERAGE(IFERROR(VLOOKUP(D42,'Справочники'!$A$5:$B$14,2,FALSE),0),IFERROR(VLOOKUP(E42,'Справочники'!$D$5:$E$12,2,FALSE),0),IFERROR(VLOOKUP(F42,'Справочники'!$G$5:$H$12,2,FALSE),0),IFERROR(VLOOKUP(G42,'Справочники'!$J$5:$K$12,2,FALSE),0)))</x:f>
      </x:c>
      <x:c r="P42" s="36"/>
    </x:row>
    <x:row r="43" ht="44" customHeight="1">
      <x:c r="A43" s="39"/>
      <x:c r="B43" s="36"/>
      <x:c r="C43" s="36"/>
      <x:c r="D43" s="42"/>
      <x:c r="E43" s="42"/>
      <x:c r="F43" s="42"/>
      <x:c r="G43" s="42"/>
      <x:c r="H43" s="42"/>
      <x:c r="I43" s="42"/>
      <x:c r="J43" s="36"/>
      <x:c r="K43" s="36"/>
      <x:c r="L43" s="36"/>
      <x:c r="M43" s="36"/>
      <x:c r="N43" s="45"/>
      <x:c r="O43" s="48" t="str">
        <x:f>IF(B43="","",AVERAGE(IFERROR(VLOOKUP(D43,'Справочники'!$A$5:$B$14,2,FALSE),0),IFERROR(VLOOKUP(E43,'Справочники'!$D$5:$E$12,2,FALSE),0),IFERROR(VLOOKUP(F43,'Справочники'!$G$5:$H$12,2,FALSE),0),IFERROR(VLOOKUP(G43,'Справочники'!$J$5:$K$12,2,FALSE),0)))</x:f>
      </x:c>
      <x:c r="P43" s="36"/>
    </x:row>
    <x:row r="44" ht="44" customHeight="1">
      <x:c r="A44" s="39"/>
      <x:c r="B44" s="36"/>
      <x:c r="C44" s="36"/>
      <x:c r="D44" s="42"/>
      <x:c r="E44" s="42"/>
      <x:c r="F44" s="42"/>
      <x:c r="G44" s="42"/>
      <x:c r="H44" s="42"/>
      <x:c r="I44" s="42"/>
      <x:c r="J44" s="36"/>
      <x:c r="K44" s="36"/>
      <x:c r="L44" s="36"/>
      <x:c r="M44" s="36"/>
      <x:c r="N44" s="45"/>
      <x:c r="O44" s="48" t="str">
        <x:f>IF(B44="","",AVERAGE(IFERROR(VLOOKUP(D44,'Справочники'!$A$5:$B$14,2,FALSE),0),IFERROR(VLOOKUP(E44,'Справочники'!$D$5:$E$12,2,FALSE),0),IFERROR(VLOOKUP(F44,'Справочники'!$G$5:$H$12,2,FALSE),0),IFERROR(VLOOKUP(G44,'Справочники'!$J$5:$K$12,2,FALSE),0)))</x:f>
      </x:c>
      <x:c r="P44" s="36"/>
    </x:row>
    <x:row r="45" ht="44" customHeight="1">
      <x:c r="A45" s="39"/>
      <x:c r="B45" s="36"/>
      <x:c r="C45" s="36"/>
      <x:c r="D45" s="42"/>
      <x:c r="E45" s="42"/>
      <x:c r="F45" s="42"/>
      <x:c r="G45" s="42"/>
      <x:c r="H45" s="42"/>
      <x:c r="I45" s="42"/>
      <x:c r="J45" s="36"/>
      <x:c r="K45" s="36"/>
      <x:c r="L45" s="36"/>
      <x:c r="M45" s="36"/>
      <x:c r="N45" s="45"/>
      <x:c r="O45" s="48" t="str">
        <x:f>IF(B45="","",AVERAGE(IFERROR(VLOOKUP(D45,'Справочники'!$A$5:$B$14,2,FALSE),0),IFERROR(VLOOKUP(E45,'Справочники'!$D$5:$E$12,2,FALSE),0),IFERROR(VLOOKUP(F45,'Справочники'!$G$5:$H$12,2,FALSE),0),IFERROR(VLOOKUP(G45,'Справочники'!$J$5:$K$12,2,FALSE),0)))</x:f>
      </x:c>
      <x:c r="P45" s="36"/>
    </x:row>
    <x:row r="46" ht="44" customHeight="1">
      <x:c r="A46" s="39"/>
      <x:c r="B46" s="36"/>
      <x:c r="C46" s="36"/>
      <x:c r="D46" s="42"/>
      <x:c r="E46" s="42"/>
      <x:c r="F46" s="42"/>
      <x:c r="G46" s="42"/>
      <x:c r="H46" s="42"/>
      <x:c r="I46" s="42"/>
      <x:c r="J46" s="36"/>
      <x:c r="K46" s="36"/>
      <x:c r="L46" s="36"/>
      <x:c r="M46" s="36"/>
      <x:c r="N46" s="45"/>
      <x:c r="O46" s="48" t="str">
        <x:f>IF(B46="","",AVERAGE(IFERROR(VLOOKUP(D46,'Справочники'!$A$5:$B$14,2,FALSE),0),IFERROR(VLOOKUP(E46,'Справочники'!$D$5:$E$12,2,FALSE),0),IFERROR(VLOOKUP(F46,'Справочники'!$G$5:$H$12,2,FALSE),0),IFERROR(VLOOKUP(G46,'Справочники'!$J$5:$K$12,2,FALSE),0)))</x:f>
      </x:c>
      <x:c r="P46" s="36"/>
    </x:row>
    <x:row r="47" ht="44" customHeight="1">
      <x:c r="A47" s="39"/>
      <x:c r="B47" s="36"/>
      <x:c r="C47" s="36"/>
      <x:c r="D47" s="42"/>
      <x:c r="E47" s="42"/>
      <x:c r="F47" s="42"/>
      <x:c r="G47" s="42"/>
      <x:c r="H47" s="42"/>
      <x:c r="I47" s="42"/>
      <x:c r="J47" s="36"/>
      <x:c r="K47" s="36"/>
      <x:c r="L47" s="36"/>
      <x:c r="M47" s="36"/>
      <x:c r="N47" s="45"/>
      <x:c r="O47" s="48" t="str">
        <x:f>IF(B47="","",AVERAGE(IFERROR(VLOOKUP(D47,'Справочники'!$A$5:$B$14,2,FALSE),0),IFERROR(VLOOKUP(E47,'Справочники'!$D$5:$E$12,2,FALSE),0),IFERROR(VLOOKUP(F47,'Справочники'!$G$5:$H$12,2,FALSE),0),IFERROR(VLOOKUP(G47,'Справочники'!$J$5:$K$12,2,FALSE),0)))</x:f>
      </x:c>
      <x:c r="P47" s="36"/>
    </x:row>
    <x:row r="48" ht="44" customHeight="1">
      <x:c r="A48" s="39"/>
      <x:c r="B48" s="36"/>
      <x:c r="C48" s="36"/>
      <x:c r="D48" s="42"/>
      <x:c r="E48" s="42"/>
      <x:c r="F48" s="42"/>
      <x:c r="G48" s="42"/>
      <x:c r="H48" s="42"/>
      <x:c r="I48" s="42"/>
      <x:c r="J48" s="36"/>
      <x:c r="K48" s="36"/>
      <x:c r="L48" s="36"/>
      <x:c r="M48" s="36"/>
      <x:c r="N48" s="45"/>
      <x:c r="O48" s="48" t="str">
        <x:f>IF(B48="","",AVERAGE(IFERROR(VLOOKUP(D48,'Справочники'!$A$5:$B$14,2,FALSE),0),IFERROR(VLOOKUP(E48,'Справочники'!$D$5:$E$12,2,FALSE),0),IFERROR(VLOOKUP(F48,'Справочники'!$G$5:$H$12,2,FALSE),0),IFERROR(VLOOKUP(G48,'Справочники'!$J$5:$K$12,2,FALSE),0)))</x:f>
      </x:c>
      <x:c r="P48" s="36"/>
    </x:row>
    <x:row r="49" ht="44" customHeight="1">
      <x:c r="A49" s="39"/>
      <x:c r="B49" s="36"/>
      <x:c r="C49" s="36"/>
      <x:c r="D49" s="42"/>
      <x:c r="E49" s="42"/>
      <x:c r="F49" s="42"/>
      <x:c r="G49" s="42"/>
      <x:c r="H49" s="42"/>
      <x:c r="I49" s="42"/>
      <x:c r="J49" s="36"/>
      <x:c r="K49" s="36"/>
      <x:c r="L49" s="36"/>
      <x:c r="M49" s="36"/>
      <x:c r="N49" s="45"/>
      <x:c r="O49" s="48" t="str">
        <x:f>IF(B49="","",AVERAGE(IFERROR(VLOOKUP(D49,'Справочники'!$A$5:$B$14,2,FALSE),0),IFERROR(VLOOKUP(E49,'Справочники'!$D$5:$E$12,2,FALSE),0),IFERROR(VLOOKUP(F49,'Справочники'!$G$5:$H$12,2,FALSE),0),IFERROR(VLOOKUP(G49,'Справочники'!$J$5:$K$12,2,FALSE),0)))</x:f>
      </x:c>
      <x:c r="P49" s="36"/>
    </x:row>
    <x:row r="50" ht="44" customHeight="1">
      <x:c r="A50" s="39"/>
      <x:c r="B50" s="36"/>
      <x:c r="C50" s="36"/>
      <x:c r="D50" s="42"/>
      <x:c r="E50" s="42"/>
      <x:c r="F50" s="42"/>
      <x:c r="G50" s="42"/>
      <x:c r="H50" s="42"/>
      <x:c r="I50" s="42"/>
      <x:c r="J50" s="36"/>
      <x:c r="K50" s="36"/>
      <x:c r="L50" s="36"/>
      <x:c r="M50" s="36"/>
      <x:c r="N50" s="45"/>
      <x:c r="O50" s="48" t="str">
        <x:f>IF(B50="","",AVERAGE(IFERROR(VLOOKUP(D50,'Справочники'!$A$5:$B$14,2,FALSE),0),IFERROR(VLOOKUP(E50,'Справочники'!$D$5:$E$12,2,FALSE),0),IFERROR(VLOOKUP(F50,'Справочники'!$G$5:$H$12,2,FALSE),0),IFERROR(VLOOKUP(G50,'Справочники'!$J$5:$K$12,2,FALSE),0)))</x:f>
      </x:c>
      <x:c r="P50" s="36"/>
    </x:row>
    <x:row r="51" ht="44" customHeight="1">
      <x:c r="A51" s="39"/>
      <x:c r="B51" s="36"/>
      <x:c r="C51" s="36"/>
      <x:c r="D51" s="42"/>
      <x:c r="E51" s="42"/>
      <x:c r="F51" s="42"/>
      <x:c r="G51" s="42"/>
      <x:c r="H51" s="42"/>
      <x:c r="I51" s="42"/>
      <x:c r="J51" s="36"/>
      <x:c r="K51" s="36"/>
      <x:c r="L51" s="36"/>
      <x:c r="M51" s="36"/>
      <x:c r="N51" s="45"/>
      <x:c r="O51" s="48" t="str">
        <x:f>IF(B51="","",AVERAGE(IFERROR(VLOOKUP(D51,'Справочники'!$A$5:$B$14,2,FALSE),0),IFERROR(VLOOKUP(E51,'Справочники'!$D$5:$E$12,2,FALSE),0),IFERROR(VLOOKUP(F51,'Справочники'!$G$5:$H$12,2,FALSE),0),IFERROR(VLOOKUP(G51,'Справочники'!$J$5:$K$12,2,FALSE),0)))</x:f>
      </x:c>
      <x:c r="P51" s="36"/>
    </x:row>
    <x:row r="52" ht="44" customHeight="1">
      <x:c r="A52" s="39"/>
      <x:c r="B52" s="36"/>
      <x:c r="C52" s="36"/>
      <x:c r="D52" s="42"/>
      <x:c r="E52" s="42"/>
      <x:c r="F52" s="42"/>
      <x:c r="G52" s="42"/>
      <x:c r="H52" s="42"/>
      <x:c r="I52" s="42"/>
      <x:c r="J52" s="36"/>
      <x:c r="K52" s="36"/>
      <x:c r="L52" s="36"/>
      <x:c r="M52" s="36"/>
      <x:c r="N52" s="45"/>
      <x:c r="O52" s="48" t="str">
        <x:f>IF(B52="","",AVERAGE(IFERROR(VLOOKUP(D52,'Справочники'!$A$5:$B$14,2,FALSE),0),IFERROR(VLOOKUP(E52,'Справочники'!$D$5:$E$12,2,FALSE),0),IFERROR(VLOOKUP(F52,'Справочники'!$G$5:$H$12,2,FALSE),0),IFERROR(VLOOKUP(G52,'Справочники'!$J$5:$K$12,2,FALSE),0)))</x:f>
      </x:c>
      <x:c r="P52" s="36"/>
    </x:row>
    <x:row r="53" ht="44" customHeight="1">
      <x:c r="A53" s="39"/>
      <x:c r="B53" s="36"/>
      <x:c r="C53" s="36"/>
      <x:c r="D53" s="42"/>
      <x:c r="E53" s="42"/>
      <x:c r="F53" s="42"/>
      <x:c r="G53" s="42"/>
      <x:c r="H53" s="42"/>
      <x:c r="I53" s="42"/>
      <x:c r="J53" s="36"/>
      <x:c r="K53" s="36"/>
      <x:c r="L53" s="36"/>
      <x:c r="M53" s="36"/>
      <x:c r="N53" s="45"/>
      <x:c r="O53" s="48" t="str">
        <x:f>IF(B53="","",AVERAGE(IFERROR(VLOOKUP(D53,'Справочники'!$A$5:$B$14,2,FALSE),0),IFERROR(VLOOKUP(E53,'Справочники'!$D$5:$E$12,2,FALSE),0),IFERROR(VLOOKUP(F53,'Справочники'!$G$5:$H$12,2,FALSE),0),IFERROR(VLOOKUP(G53,'Справочники'!$J$5:$K$12,2,FALSE),0)))</x:f>
      </x:c>
      <x:c r="P53" s="36"/>
    </x:row>
    <x:row r="54" ht="44" customHeight="1">
      <x:c r="A54" s="39"/>
      <x:c r="B54" s="36"/>
      <x:c r="C54" s="36"/>
      <x:c r="D54" s="42"/>
      <x:c r="E54" s="42"/>
      <x:c r="F54" s="42"/>
      <x:c r="G54" s="42"/>
      <x:c r="H54" s="42"/>
      <x:c r="I54" s="42"/>
      <x:c r="J54" s="36"/>
      <x:c r="K54" s="36"/>
      <x:c r="L54" s="36"/>
      <x:c r="M54" s="36"/>
      <x:c r="N54" s="45"/>
      <x:c r="O54" s="48" t="str">
        <x:f>IF(B54="","",AVERAGE(IFERROR(VLOOKUP(D54,'Справочники'!$A$5:$B$14,2,FALSE),0),IFERROR(VLOOKUP(E54,'Справочники'!$D$5:$E$12,2,FALSE),0),IFERROR(VLOOKUP(F54,'Справочники'!$G$5:$H$12,2,FALSE),0),IFERROR(VLOOKUP(G54,'Справочники'!$J$5:$K$12,2,FALSE),0)))</x:f>
      </x:c>
      <x:c r="P54" s="36"/>
    </x:row>
    <x:row r="55" ht="44" customHeight="1">
      <x:c r="A55" s="39"/>
      <x:c r="B55" s="36"/>
      <x:c r="C55" s="36"/>
      <x:c r="D55" s="42"/>
      <x:c r="E55" s="42"/>
      <x:c r="F55" s="42"/>
      <x:c r="G55" s="42"/>
      <x:c r="H55" s="42"/>
      <x:c r="I55" s="42"/>
      <x:c r="J55" s="36"/>
      <x:c r="K55" s="36"/>
      <x:c r="L55" s="36"/>
      <x:c r="M55" s="36"/>
      <x:c r="N55" s="45"/>
      <x:c r="O55" s="48" t="str">
        <x:f>IF(B55="","",AVERAGE(IFERROR(VLOOKUP(D55,'Справочники'!$A$5:$B$14,2,FALSE),0),IFERROR(VLOOKUP(E55,'Справочники'!$D$5:$E$12,2,FALSE),0),IFERROR(VLOOKUP(F55,'Справочники'!$G$5:$H$12,2,FALSE),0),IFERROR(VLOOKUP(G55,'Справочники'!$J$5:$K$12,2,FALSE),0)))</x:f>
      </x:c>
      <x:c r="P55" s="36"/>
    </x:row>
    <x:row r="56" ht="44" customHeight="1">
      <x:c r="A56" s="39"/>
      <x:c r="B56" s="36"/>
      <x:c r="C56" s="36"/>
      <x:c r="D56" s="42"/>
      <x:c r="E56" s="42"/>
      <x:c r="F56" s="42"/>
      <x:c r="G56" s="42"/>
      <x:c r="H56" s="42"/>
      <x:c r="I56" s="42"/>
      <x:c r="J56" s="36"/>
      <x:c r="K56" s="36"/>
      <x:c r="L56" s="36"/>
      <x:c r="M56" s="36"/>
      <x:c r="N56" s="45"/>
      <x:c r="O56" s="48" t="str">
        <x:f>IF(B56="","",AVERAGE(IFERROR(VLOOKUP(D56,'Справочники'!$A$5:$B$14,2,FALSE),0),IFERROR(VLOOKUP(E56,'Справочники'!$D$5:$E$12,2,FALSE),0),IFERROR(VLOOKUP(F56,'Справочники'!$G$5:$H$12,2,FALSE),0),IFERROR(VLOOKUP(G56,'Справочники'!$J$5:$K$12,2,FALSE),0)))</x:f>
      </x:c>
      <x:c r="P56" s="36"/>
    </x:row>
    <x:row r="57" ht="44" customHeight="1">
      <x:c r="A57" s="39"/>
      <x:c r="B57" s="36"/>
      <x:c r="C57" s="36"/>
      <x:c r="D57" s="42"/>
      <x:c r="E57" s="42"/>
      <x:c r="F57" s="42"/>
      <x:c r="G57" s="42"/>
      <x:c r="H57" s="42"/>
      <x:c r="I57" s="42"/>
      <x:c r="J57" s="36"/>
      <x:c r="K57" s="36"/>
      <x:c r="L57" s="36"/>
      <x:c r="M57" s="36"/>
      <x:c r="N57" s="45"/>
      <x:c r="O57" s="48" t="str">
        <x:f>IF(B57="","",AVERAGE(IFERROR(VLOOKUP(D57,'Справочники'!$A$5:$B$14,2,FALSE),0),IFERROR(VLOOKUP(E57,'Справочники'!$D$5:$E$12,2,FALSE),0),IFERROR(VLOOKUP(F57,'Справочники'!$G$5:$H$12,2,FALSE),0),IFERROR(VLOOKUP(G57,'Справочники'!$J$5:$K$12,2,FALSE),0)))</x:f>
      </x:c>
      <x:c r="P57" s="36"/>
    </x:row>
    <x:row r="58" ht="44" customHeight="1">
      <x:c r="A58" s="39"/>
      <x:c r="B58" s="36"/>
      <x:c r="C58" s="36"/>
      <x:c r="D58" s="42"/>
      <x:c r="E58" s="42"/>
      <x:c r="F58" s="42"/>
      <x:c r="G58" s="42"/>
      <x:c r="H58" s="42"/>
      <x:c r="I58" s="42"/>
      <x:c r="J58" s="36"/>
      <x:c r="K58" s="36"/>
      <x:c r="L58" s="36"/>
      <x:c r="M58" s="36"/>
      <x:c r="N58" s="45"/>
      <x:c r="O58" s="48" t="str">
        <x:f>IF(B58="","",AVERAGE(IFERROR(VLOOKUP(D58,'Справочники'!$A$5:$B$14,2,FALSE),0),IFERROR(VLOOKUP(E58,'Справочники'!$D$5:$E$12,2,FALSE),0),IFERROR(VLOOKUP(F58,'Справочники'!$G$5:$H$12,2,FALSE),0),IFERROR(VLOOKUP(G58,'Справочники'!$J$5:$K$12,2,FALSE),0)))</x:f>
      </x:c>
      <x:c r="P58" s="36"/>
    </x:row>
    <x:row r="59" ht="44" customHeight="1">
      <x:c r="A59" s="39"/>
      <x:c r="B59" s="36"/>
      <x:c r="C59" s="36"/>
      <x:c r="D59" s="42"/>
      <x:c r="E59" s="42"/>
      <x:c r="F59" s="42"/>
      <x:c r="G59" s="42"/>
      <x:c r="H59" s="42"/>
      <x:c r="I59" s="42"/>
      <x:c r="J59" s="36"/>
      <x:c r="K59" s="36"/>
      <x:c r="L59" s="36"/>
      <x:c r="M59" s="36"/>
      <x:c r="N59" s="45"/>
      <x:c r="O59" s="48" t="str">
        <x:f>IF(B59="","",AVERAGE(IFERROR(VLOOKUP(D59,'Справочники'!$A$5:$B$14,2,FALSE),0),IFERROR(VLOOKUP(E59,'Справочники'!$D$5:$E$12,2,FALSE),0),IFERROR(VLOOKUP(F59,'Справочники'!$G$5:$H$12,2,FALSE),0),IFERROR(VLOOKUP(G59,'Справочники'!$J$5:$K$12,2,FALSE),0)))</x:f>
      </x:c>
      <x:c r="P59" s="36"/>
    </x:row>
    <x:row r="60" ht="44" customHeight="1">
      <x:c r="A60" s="39"/>
      <x:c r="B60" s="36"/>
      <x:c r="C60" s="36"/>
      <x:c r="D60" s="42"/>
      <x:c r="E60" s="42"/>
      <x:c r="F60" s="42"/>
      <x:c r="G60" s="42"/>
      <x:c r="H60" s="42"/>
      <x:c r="I60" s="42"/>
      <x:c r="J60" s="36"/>
      <x:c r="K60" s="36"/>
      <x:c r="L60" s="36"/>
      <x:c r="M60" s="36"/>
      <x:c r="N60" s="45"/>
      <x:c r="O60" s="48" t="str">
        <x:f>IF(B60="","",AVERAGE(IFERROR(VLOOKUP(D60,'Справочники'!$A$5:$B$14,2,FALSE),0),IFERROR(VLOOKUP(E60,'Справочники'!$D$5:$E$12,2,FALSE),0),IFERROR(VLOOKUP(F60,'Справочники'!$G$5:$H$12,2,FALSE),0),IFERROR(VLOOKUP(G60,'Справочники'!$J$5:$K$12,2,FALSE),0)))</x:f>
      </x:c>
      <x:c r="P60" s="36"/>
    </x:row>
    <x:row r="61" ht="44" customHeight="1">
      <x:c r="A61" s="39"/>
      <x:c r="B61" s="36"/>
      <x:c r="C61" s="36"/>
      <x:c r="D61" s="42"/>
      <x:c r="E61" s="42"/>
      <x:c r="F61" s="42"/>
      <x:c r="G61" s="42"/>
      <x:c r="H61" s="42"/>
      <x:c r="I61" s="42"/>
      <x:c r="J61" s="36"/>
      <x:c r="K61" s="36"/>
      <x:c r="L61" s="36"/>
      <x:c r="M61" s="36"/>
      <x:c r="N61" s="45"/>
      <x:c r="O61" s="48" t="str">
        <x:f>IF(B61="","",AVERAGE(IFERROR(VLOOKUP(D61,'Справочники'!$A$5:$B$14,2,FALSE),0),IFERROR(VLOOKUP(E61,'Справочники'!$D$5:$E$12,2,FALSE),0),IFERROR(VLOOKUP(F61,'Справочники'!$G$5:$H$12,2,FALSE),0),IFERROR(VLOOKUP(G61,'Справочники'!$J$5:$K$12,2,FALSE),0)))</x:f>
      </x:c>
      <x:c r="P61" s="36"/>
    </x:row>
    <x:row r="62" ht="44" customHeight="1">
      <x:c r="A62" s="39"/>
      <x:c r="B62" s="36"/>
      <x:c r="C62" s="36"/>
      <x:c r="D62" s="42"/>
      <x:c r="E62" s="42"/>
      <x:c r="F62" s="42"/>
      <x:c r="G62" s="42"/>
      <x:c r="H62" s="42"/>
      <x:c r="I62" s="42"/>
      <x:c r="J62" s="36"/>
      <x:c r="K62" s="36"/>
      <x:c r="L62" s="36"/>
      <x:c r="M62" s="36"/>
      <x:c r="N62" s="45"/>
      <x:c r="O62" s="48" t="str">
        <x:f>IF(B62="","",AVERAGE(IFERROR(VLOOKUP(D62,'Справочники'!$A$5:$B$14,2,FALSE),0),IFERROR(VLOOKUP(E62,'Справочники'!$D$5:$E$12,2,FALSE),0),IFERROR(VLOOKUP(F62,'Справочники'!$G$5:$H$12,2,FALSE),0),IFERROR(VLOOKUP(G62,'Справочники'!$J$5:$K$12,2,FALSE),0)))</x:f>
      </x:c>
      <x:c r="P62" s="36"/>
    </x:row>
    <x:row r="63" ht="44" customHeight="1">
      <x:c r="A63" s="39"/>
      <x:c r="B63" s="36"/>
      <x:c r="C63" s="36"/>
      <x:c r="D63" s="42"/>
      <x:c r="E63" s="42"/>
      <x:c r="F63" s="42"/>
      <x:c r="G63" s="42"/>
      <x:c r="H63" s="42"/>
      <x:c r="I63" s="42"/>
      <x:c r="J63" s="36"/>
      <x:c r="K63" s="36"/>
      <x:c r="L63" s="36"/>
      <x:c r="M63" s="36"/>
      <x:c r="N63" s="45"/>
      <x:c r="O63" s="48" t="str">
        <x:f>IF(B63="","",AVERAGE(IFERROR(VLOOKUP(D63,'Справочники'!$A$5:$B$14,2,FALSE),0),IFERROR(VLOOKUP(E63,'Справочники'!$D$5:$E$12,2,FALSE),0),IFERROR(VLOOKUP(F63,'Справочники'!$G$5:$H$12,2,FALSE),0),IFERROR(VLOOKUP(G63,'Справочники'!$J$5:$K$12,2,FALSE),0)))</x:f>
      </x:c>
      <x:c r="P63" s="36"/>
    </x:row>
    <x:row r="64" ht="44" customHeight="1">
      <x:c r="A64" s="39"/>
      <x:c r="B64" s="36"/>
      <x:c r="C64" s="36"/>
      <x:c r="D64" s="42"/>
      <x:c r="E64" s="42"/>
      <x:c r="F64" s="42"/>
      <x:c r="G64" s="42"/>
      <x:c r="H64" s="42"/>
      <x:c r="I64" s="42"/>
      <x:c r="J64" s="36"/>
      <x:c r="K64" s="36"/>
      <x:c r="L64" s="36"/>
      <x:c r="M64" s="36"/>
      <x:c r="N64" s="45"/>
      <x:c r="O64" s="48" t="str">
        <x:f>IF(B64="","",AVERAGE(IFERROR(VLOOKUP(D64,'Справочники'!$A$5:$B$14,2,FALSE),0),IFERROR(VLOOKUP(E64,'Справочники'!$D$5:$E$12,2,FALSE),0),IFERROR(VLOOKUP(F64,'Справочники'!$G$5:$H$12,2,FALSE),0),IFERROR(VLOOKUP(G64,'Справочники'!$J$5:$K$12,2,FALSE),0)))</x:f>
      </x:c>
      <x:c r="P64" s="36"/>
    </x:row>
    <x:row r="65" ht="44" customHeight="1">
      <x:c r="A65" s="39"/>
      <x:c r="B65" s="36"/>
      <x:c r="C65" s="36"/>
      <x:c r="D65" s="42"/>
      <x:c r="E65" s="42"/>
      <x:c r="F65" s="42"/>
      <x:c r="G65" s="42"/>
      <x:c r="H65" s="42"/>
      <x:c r="I65" s="42"/>
      <x:c r="J65" s="36"/>
      <x:c r="K65" s="36"/>
      <x:c r="L65" s="36"/>
      <x:c r="M65" s="36"/>
      <x:c r="N65" s="45"/>
      <x:c r="O65" s="48" t="str">
        <x:f>IF(B65="","",AVERAGE(IFERROR(VLOOKUP(D65,'Справочники'!$A$5:$B$14,2,FALSE),0),IFERROR(VLOOKUP(E65,'Справочники'!$D$5:$E$12,2,FALSE),0),IFERROR(VLOOKUP(F65,'Справочники'!$G$5:$H$12,2,FALSE),0),IFERROR(VLOOKUP(G65,'Справочники'!$J$5:$K$12,2,FALSE),0)))</x:f>
      </x:c>
      <x:c r="P65" s="36"/>
    </x:row>
    <x:row r="66" ht="44" customHeight="1">
      <x:c r="A66" s="39"/>
      <x:c r="B66" s="36"/>
      <x:c r="C66" s="36"/>
      <x:c r="D66" s="42"/>
      <x:c r="E66" s="42"/>
      <x:c r="F66" s="42"/>
      <x:c r="G66" s="42"/>
      <x:c r="H66" s="42"/>
      <x:c r="I66" s="42"/>
      <x:c r="J66" s="36"/>
      <x:c r="K66" s="36"/>
      <x:c r="L66" s="36"/>
      <x:c r="M66" s="36"/>
      <x:c r="N66" s="45"/>
      <x:c r="O66" s="48" t="str">
        <x:f>IF(B66="","",AVERAGE(IFERROR(VLOOKUP(D66,'Справочники'!$A$5:$B$14,2,FALSE),0),IFERROR(VLOOKUP(E66,'Справочники'!$D$5:$E$12,2,FALSE),0),IFERROR(VLOOKUP(F66,'Справочники'!$G$5:$H$12,2,FALSE),0),IFERROR(VLOOKUP(G66,'Справочники'!$J$5:$K$12,2,FALSE),0)))</x:f>
      </x:c>
      <x:c r="P66" s="36"/>
    </x:row>
    <x:row r="67" ht="44" customHeight="1">
      <x:c r="A67" s="39"/>
      <x:c r="B67" s="36"/>
      <x:c r="C67" s="36"/>
      <x:c r="D67" s="42"/>
      <x:c r="E67" s="42"/>
      <x:c r="F67" s="42"/>
      <x:c r="G67" s="42"/>
      <x:c r="H67" s="42"/>
      <x:c r="I67" s="42"/>
      <x:c r="J67" s="36"/>
      <x:c r="K67" s="36"/>
      <x:c r="L67" s="36"/>
      <x:c r="M67" s="36"/>
      <x:c r="N67" s="45"/>
      <x:c r="O67" s="48" t="str">
        <x:f>IF(B67="","",AVERAGE(IFERROR(VLOOKUP(D67,'Справочники'!$A$5:$B$14,2,FALSE),0),IFERROR(VLOOKUP(E67,'Справочники'!$D$5:$E$12,2,FALSE),0),IFERROR(VLOOKUP(F67,'Справочники'!$G$5:$H$12,2,FALSE),0),IFERROR(VLOOKUP(G67,'Справочники'!$J$5:$K$12,2,FALSE),0)))</x:f>
      </x:c>
      <x:c r="P67" s="36"/>
    </x:row>
    <x:row r="68" ht="44" customHeight="1">
      <x:c r="A68" s="39"/>
      <x:c r="B68" s="36"/>
      <x:c r="C68" s="36"/>
      <x:c r="D68" s="42"/>
      <x:c r="E68" s="42"/>
      <x:c r="F68" s="42"/>
      <x:c r="G68" s="42"/>
      <x:c r="H68" s="42"/>
      <x:c r="I68" s="42"/>
      <x:c r="J68" s="36"/>
      <x:c r="K68" s="36"/>
      <x:c r="L68" s="36"/>
      <x:c r="M68" s="36"/>
      <x:c r="N68" s="45"/>
      <x:c r="O68" s="48" t="str">
        <x:f>IF(B68="","",AVERAGE(IFERROR(VLOOKUP(D68,'Справочники'!$A$5:$B$14,2,FALSE),0),IFERROR(VLOOKUP(E68,'Справочники'!$D$5:$E$12,2,FALSE),0),IFERROR(VLOOKUP(F68,'Справочники'!$G$5:$H$12,2,FALSE),0),IFERROR(VLOOKUP(G68,'Справочники'!$J$5:$K$12,2,FALSE),0)))</x:f>
      </x:c>
      <x:c r="P68" s="36"/>
    </x:row>
    <x:row r="69" ht="44" customHeight="1">
      <x:c r="A69" s="39"/>
      <x:c r="B69" s="36"/>
      <x:c r="C69" s="36"/>
      <x:c r="D69" s="42"/>
      <x:c r="E69" s="42"/>
      <x:c r="F69" s="42"/>
      <x:c r="G69" s="42"/>
      <x:c r="H69" s="42"/>
      <x:c r="I69" s="42"/>
      <x:c r="J69" s="36"/>
      <x:c r="K69" s="36"/>
      <x:c r="L69" s="36"/>
      <x:c r="M69" s="36"/>
      <x:c r="N69" s="45"/>
      <x:c r="O69" s="48" t="str">
        <x:f>IF(B69="","",AVERAGE(IFERROR(VLOOKUP(D69,'Справочники'!$A$5:$B$14,2,FALSE),0),IFERROR(VLOOKUP(E69,'Справочники'!$D$5:$E$12,2,FALSE),0),IFERROR(VLOOKUP(F69,'Справочники'!$G$5:$H$12,2,FALSE),0),IFERROR(VLOOKUP(G69,'Справочники'!$J$5:$K$12,2,FALSE),0)))</x:f>
      </x:c>
      <x:c r="P69" s="36"/>
    </x:row>
    <x:row r="70" ht="44" customHeight="1">
      <x:c r="A70" s="39"/>
      <x:c r="B70" s="36"/>
      <x:c r="C70" s="36"/>
      <x:c r="D70" s="42"/>
      <x:c r="E70" s="42"/>
      <x:c r="F70" s="42"/>
      <x:c r="G70" s="42"/>
      <x:c r="H70" s="42"/>
      <x:c r="I70" s="42"/>
      <x:c r="J70" s="36"/>
      <x:c r="K70" s="36"/>
      <x:c r="L70" s="36"/>
      <x:c r="M70" s="36"/>
      <x:c r="N70" s="45"/>
      <x:c r="O70" s="48" t="str">
        <x:f>IF(B70="","",AVERAGE(IFERROR(VLOOKUP(D70,'Справочники'!$A$5:$B$14,2,FALSE),0),IFERROR(VLOOKUP(E70,'Справочники'!$D$5:$E$12,2,FALSE),0),IFERROR(VLOOKUP(F70,'Справочники'!$G$5:$H$12,2,FALSE),0),IFERROR(VLOOKUP(G70,'Справочники'!$J$5:$K$12,2,FALSE),0)))</x:f>
      </x:c>
      <x:c r="P70" s="36"/>
    </x:row>
    <x:row r="71" ht="44" customHeight="1">
      <x:c r="A71" s="39"/>
      <x:c r="B71" s="36"/>
      <x:c r="C71" s="36"/>
      <x:c r="D71" s="42"/>
      <x:c r="E71" s="42"/>
      <x:c r="F71" s="42"/>
      <x:c r="G71" s="42"/>
      <x:c r="H71" s="42"/>
      <x:c r="I71" s="42"/>
      <x:c r="J71" s="36"/>
      <x:c r="K71" s="36"/>
      <x:c r="L71" s="36"/>
      <x:c r="M71" s="36"/>
      <x:c r="N71" s="45"/>
      <x:c r="O71" s="48" t="str">
        <x:f>IF(B71="","",AVERAGE(IFERROR(VLOOKUP(D71,'Справочники'!$A$5:$B$14,2,FALSE),0),IFERROR(VLOOKUP(E71,'Справочники'!$D$5:$E$12,2,FALSE),0),IFERROR(VLOOKUP(F71,'Справочники'!$G$5:$H$12,2,FALSE),0),IFERROR(VLOOKUP(G71,'Справочники'!$J$5:$K$12,2,FALSE),0)))</x:f>
      </x:c>
      <x:c r="P71" s="36"/>
    </x:row>
    <x:row r="72" ht="44" customHeight="1">
      <x:c r="A72" s="39"/>
      <x:c r="B72" s="36"/>
      <x:c r="C72" s="36"/>
      <x:c r="D72" s="42"/>
      <x:c r="E72" s="42"/>
      <x:c r="F72" s="42"/>
      <x:c r="G72" s="42"/>
      <x:c r="H72" s="42"/>
      <x:c r="I72" s="42"/>
      <x:c r="J72" s="36"/>
      <x:c r="K72" s="36"/>
      <x:c r="L72" s="36"/>
      <x:c r="M72" s="36"/>
      <x:c r="N72" s="45"/>
      <x:c r="O72" s="48" t="str">
        <x:f>IF(B72="","",AVERAGE(IFERROR(VLOOKUP(D72,'Справочники'!$A$5:$B$14,2,FALSE),0),IFERROR(VLOOKUP(E72,'Справочники'!$D$5:$E$12,2,FALSE),0),IFERROR(VLOOKUP(F72,'Справочники'!$G$5:$H$12,2,FALSE),0),IFERROR(VLOOKUP(G72,'Справочники'!$J$5:$K$12,2,FALSE),0)))</x:f>
      </x:c>
      <x:c r="P72" s="36"/>
    </x:row>
    <x:row r="73" ht="44" customHeight="1">
      <x:c r="A73" s="39"/>
      <x:c r="B73" s="36"/>
      <x:c r="C73" s="36"/>
      <x:c r="D73" s="42"/>
      <x:c r="E73" s="42"/>
      <x:c r="F73" s="42"/>
      <x:c r="G73" s="42"/>
      <x:c r="H73" s="42"/>
      <x:c r="I73" s="42"/>
      <x:c r="J73" s="36"/>
      <x:c r="K73" s="36"/>
      <x:c r="L73" s="36"/>
      <x:c r="M73" s="36"/>
      <x:c r="N73" s="45"/>
      <x:c r="O73" s="48" t="str">
        <x:f>IF(B73="","",AVERAGE(IFERROR(VLOOKUP(D73,'Справочники'!$A$5:$B$14,2,FALSE),0),IFERROR(VLOOKUP(E73,'Справочники'!$D$5:$E$12,2,FALSE),0),IFERROR(VLOOKUP(F73,'Справочники'!$G$5:$H$12,2,FALSE),0),IFERROR(VLOOKUP(G73,'Справочники'!$J$5:$K$12,2,FALSE),0)))</x:f>
      </x:c>
      <x:c r="P73" s="36"/>
    </x:row>
    <x:row r="74" ht="44" customHeight="1">
      <x:c r="A74" s="39"/>
      <x:c r="B74" s="36"/>
      <x:c r="C74" s="36"/>
      <x:c r="D74" s="42"/>
      <x:c r="E74" s="42"/>
      <x:c r="F74" s="42"/>
      <x:c r="G74" s="42"/>
      <x:c r="H74" s="42"/>
      <x:c r="I74" s="42"/>
      <x:c r="J74" s="36"/>
      <x:c r="K74" s="36"/>
      <x:c r="L74" s="36"/>
      <x:c r="M74" s="36"/>
      <x:c r="N74" s="45"/>
      <x:c r="O74" s="48" t="str">
        <x:f>IF(B74="","",AVERAGE(IFERROR(VLOOKUP(D74,'Справочники'!$A$5:$B$14,2,FALSE),0),IFERROR(VLOOKUP(E74,'Справочники'!$D$5:$E$12,2,FALSE),0),IFERROR(VLOOKUP(F74,'Справочники'!$G$5:$H$12,2,FALSE),0),IFERROR(VLOOKUP(G74,'Справочники'!$J$5:$K$12,2,FALSE),0)))</x:f>
      </x:c>
      <x:c r="P74" s="36"/>
    </x:row>
    <x:row r="75" ht="44" customHeight="1">
      <x:c r="A75" s="40"/>
      <x:c r="B75" s="37"/>
      <x:c r="C75" s="37"/>
      <x:c r="D75" s="43"/>
      <x:c r="E75" s="43"/>
      <x:c r="F75" s="43"/>
      <x:c r="G75" s="43"/>
      <x:c r="H75" s="43"/>
      <x:c r="I75" s="43"/>
      <x:c r="J75" s="37"/>
      <x:c r="K75" s="37"/>
      <x:c r="L75" s="37"/>
      <x:c r="M75" s="37"/>
      <x:c r="N75" s="46"/>
      <x:c r="O75" s="49" t="str">
        <x:f>IF(B75="","",AVERAGE(IFERROR(VLOOKUP(D75,'Справочники'!$A$5:$B$14,2,FALSE),0),IFERROR(VLOOKUP(E75,'Справочники'!$D$5:$E$12,2,FALSE),0),IFERROR(VLOOKUP(F75,'Справочники'!$G$5:$H$12,2,FALSE),0),IFERROR(VLOOKUP(G75,'Справочники'!$J$5:$K$12,2,FALSE),0)))</x:f>
      </x:c>
      <x:c r="P75" s="37"/>
    </x:row>
  </x:sheetData>
  <x:mergeCells>
    <x:mergeCell ref="A1:P1"/>
    <x:mergeCell ref="A2:P2"/>
    <x:mergeCell ref="A3:B3"/>
    <x:mergeCell ref="C3:D3"/>
    <x:mergeCell ref="E3:F3"/>
    <x:mergeCell ref="G3:H3"/>
    <x:mergeCell ref="I3:J3"/>
    <x:mergeCell ref="K3:L3"/>
    <x:mergeCell ref="M3:N3"/>
    <x:mergeCell ref="O3:P3"/>
  </x:mergeCells>
  <x:conditionalFormatting sqref="D6:D75">
    <x:cfRule type="containsText" dxfId="120" priority="1" operator="containsText" text="Готово local/mock"/>
    <x:cfRule type="expression" dxfId="121" priority="2">
      <x:formula>$D6="Готово"</x:formula>
    </x:cfRule>
    <x:cfRule type="containsText" dxfId="122" priority="3" operator="containsText" text="Review"/>
    <x:cfRule type="containsText" dxfId="123" priority="4" operator="containsText" text="Draft"/>
    <x:cfRule type="containsText" dxfId="124" priority="5" operator="containsText" text="Отсутствует"/>
    <x:cfRule type="containsText" dxfId="125" priority="6" operator="containsText" text="В работе"/>
  </x:conditionalFormatting>
  <x:conditionalFormatting sqref="E6:E75">
    <x:cfRule type="containsText" dxfId="126" priority="7" operator="containsText" text="Accepted"/>
    <x:cfRule type="containsText" dxfId="127" priority="8" operator="containsText" text="Canonical"/>
    <x:cfRule type="containsText" dxfId="128" priority="9" operator="containsText" text="Approved"/>
    <x:cfRule type="containsText" dxfId="129" priority="10" operator="containsText" text="Review"/>
    <x:cfRule type="containsText" dxfId="130" priority="11" operator="containsText" text="Draft"/>
    <x:cfRule type="containsText" dxfId="131" priority="12" operator="containsText" text="Отсутствует"/>
  </x:conditionalFormatting>
  <x:conditionalFormatting sqref="F6:F75">
    <x:cfRule type="expression" dxfId="132" priority="13">
      <x:formula>$F6="Production"</x:formula>
    </x:cfRule>
    <x:cfRule type="expression" dxfId="133" priority="14">
      <x:formula>$F6="Local/mock"</x:formula>
    </x:cfRule>
    <x:cfRule type="expression" dxfId="134" priority="15">
      <x:formula>$F6="Pure domain"</x:formula>
    </x:cfRule>
    <x:cfRule type="expression" dxfId="135" priority="16">
      <x:formula>$F6="Отсутствует"</x:formula>
    </x:cfRule>
    <x:cfRule type="expression" dxfId="136" priority="17">
      <x:formula>$F6="Gated"</x:formula>
    </x:cfRule>
  </x:conditionalFormatting>
  <x:conditionalFormatting sqref="G6:G75">
    <x:cfRule type="containsText" dxfId="137" priority="18" operator="containsText" text="Текущие зелёные"/>
    <x:cfRule type="containsText" dxfId="138" priority="19" operator="containsText" text="Исторические зелёные"/>
    <x:cfRule type="containsText" dxfId="139" priority="20" operator="containsText" text="Device pending"/>
    <x:cfRule type="containsText" dxfId="140" priority="21" operator="containsText" text="Не запускались"/>
  </x:conditionalFormatting>
  <x:conditionalFormatting sqref="I6:I75">
    <x:cfRule type="containsText" dxfId="141" priority="22" operator="containsText" text="P0"/>
    <x:cfRule type="containsText" dxfId="142" priority="23" operator="containsText" text="P1"/>
    <x:cfRule type="containsText" dxfId="143" priority="24" operator="containsText" text="P2"/>
  </x:conditionalFormatting>
  <x:conditionalFormatting sqref="O6:O75">
    <x:cfRule type="dataBar" priority="25">
      <x:dataBar>
        <x:cfvo type="min"/>
        <x:cfvo type="max"/>
        <x:color rgb="FF2F6B5C"/>
      </x:dataBar>
      <x:extLst>
        <x:ext xmlns:x14="http://schemas.microsoft.com/office/spreadsheetml/2009/9/main" uri="{B025F937-C7B1-47D3-B67F-A62EFF666E3E}">
          <x14:id>{297BC8CE-1E44-AE74-81A4-E9F9D407A07D}</x14:id>
        </x:ext>
      </x:extLst>
    </x:cfRule>
  </x:conditionalFormatting>
  <x:dataValidations count="5">
    <x:dataValidation type="list" sqref="D6:D75">
      <x:formula1>'Справочники'!$A$5:$A$14</x:formula1>
    </x:dataValidation>
    <x:dataValidation type="list" sqref="E6:E75">
      <x:formula1>'Справочники'!$D$5:$D$12</x:formula1>
    </x:dataValidation>
    <x:dataValidation type="list" sqref="F6:F75">
      <x:formula1>'Справочники'!$G$5:$G$12</x:formula1>
    </x:dataValidation>
    <x:dataValidation type="list" sqref="G6:G75">
      <x:formula1>'Справочники'!$J$5:$J$12</x:formula1>
    </x:dataValidation>
    <x:dataValidation type="list" sqref="I6:I75">
      <x:formula1>'Справочники'!$M$5:$M$9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59ed15aaf5b4ec6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5" id="{297BC8CE-1E44-AE74-81A4-E9F9D407A07D}">
            <x14:dataBar gradient="1">
              <x14:cfvo type="min"/>
              <x14:cfvo type="max"/>
              <x14:fillColor rgb="FF2F6B5C"/>
            </x14:dataBar>
          </x14:cfRule>
          <xm:sqref>O6:O75</xm:sqref>
        </x14:conditionalFormatting>
      </x14:conditionalFormattings>
    </x:ext>
  </x:extLst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1" hidden="0" customWidth="1"/>
    <x:col min="3" max="3" width="20" hidden="0" customWidth="1"/>
    <x:col min="4" max="4" width="18" hidden="0" customWidth="1"/>
    <x:col min="5" max="5" width="20" hidden="0" customWidth="1"/>
    <x:col min="6" max="6" width="16" hidden="0" customWidth="1"/>
    <x:col min="7" max="7" width="20" hidden="0" customWidth="1"/>
    <x:col min="8" max="8" width="25" hidden="0" customWidth="1"/>
    <x:col min="9" max="9" width="11" hidden="0" customWidth="1"/>
    <x:col min="10" max="10" width="40" hidden="0" customWidth="1"/>
    <x:col min="11" max="11" width="28" hidden="0" customWidth="1"/>
    <x:col min="12" max="12" width="20" hidden="0" customWidth="1"/>
    <x:col min="13" max="13" width="48" hidden="0" customWidth="1"/>
    <x:col min="14" max="14" width="14" hidden="0" customWidth="1"/>
    <x:col min="15" max="15" width="13" hidden="0" customWidth="1"/>
    <x:col min="16" max="16" width="34" hidden="0" customWidth="1"/>
  </x:cols>
  <x:sheetData>
    <x:row r="1" ht="38" customHeight="1">
      <x:c r="A1" s="3" t="str">
        <x:v>MOBILE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2" customHeight="1">
      <x:c r="A2" s="7" t="str">
        <x:v>Delivery layer · Flutter application, feature modules, local/mock runtime and remote cutover.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3">
      <x:c r="A3" s="12" t="e">
        <x:f>HYPERLINK("#'Паук'!A1","← Вернуться к пауку")</x:f>
        <x:v>HYPERLINK is not implemented. linkLocation=#'Паук'!A1, friendlyName=← Вернуться к пауку</x:v>
      </x:c>
      <x:c r="B3" s="12"/>
      <x:c r="C3" t="str">
        <x:v>Прогресс</x:v>
      </x:c>
      <x:c r="E3" s="15" t="n">
        <x:f>IFERROR(SUM(O6:O75)/COUNTA(B6:B75),0)</x:f>
        <x:v>0.6220833333333337</x:v>
      </x:c>
      <x:c r="F3" s="15"/>
      <x:c r="G3" t="str">
        <x:v>Открытые P0/P1</x:v>
      </x:c>
      <x:c r="I3" s="18" t="n">
        <x:f>COUNTIFS(I6:I75,"P0",O6:O75,"&lt;1")+COUNTIFS(I6:I75,"P1",O6:O75,"&lt;1")</x:f>
        <x:v>25</x:v>
      </x:c>
      <x:c r="J3" s="18"/>
      <x:c r="K3" t="str">
        <x:v>Runtime отсутствует</x:v>
      </x:c>
      <x:c r="M3" s="21" t="n">
        <x:f>COUNTIF(F6:F75,"Отсутствует")</x:f>
        <x:v>4</x:v>
      </x:c>
      <x:c r="N3" s="21"/>
      <x:c r="O3" s="24" t="e">
        <x:f>HYPERLINK("#'Реестр файлов'!A1","Реестр файлов →")</x:f>
        <x:v>HYPERLINK is not implemented. linkLocation=#'Реестр файлов'!A1, friendlyName=Реестр файлов →</x:v>
      </x:c>
      <x:c r="P3" s="24"/>
    </x:row>
    <x:row r="5">
      <x:c r="A5" s="27" t="str">
        <x:v>ID</x:v>
      </x:c>
      <x:c r="B5" s="27" t="str">
        <x:v>Подсистема / deliverable</x:v>
      </x:c>
      <x:c r="C5" s="27" t="str">
        <x:v>Тип</x:v>
      </x:c>
      <x:c r="D5" s="27" t="str">
        <x:v>Артефакт</x:v>
      </x:c>
      <x:c r="E5" s="27" t="str">
        <x:v>Документация</x:v>
      </x:c>
      <x:c r="F5" s="27" t="str">
        <x:v>Runtime</x:v>
      </x:c>
      <x:c r="G5" s="27" t="str">
        <x:v>Проверки</x:v>
      </x:c>
      <x:c r="H5" s="27" t="str">
        <x:v>Gate / authority</x:v>
      </x:c>
      <x:c r="I5" s="27" t="str">
        <x:v>Приоритет</x:v>
      </x:c>
      <x:c r="J5" s="27" t="str">
        <x:v>Следующее действие</x:v>
      </x:c>
      <x:c r="K5" s="27" t="str">
        <x:v>Блокер</x:v>
      </x:c>
      <x:c r="L5" s="27" t="str">
        <x:v>Owner</x:v>
      </x:c>
      <x:c r="M5" s="27" t="str">
        <x:v>Источник / путь</x:v>
      </x:c>
      <x:c r="N5" s="27" t="str">
        <x:v>Обновлено</x:v>
      </x:c>
      <x:c r="O5" s="27" t="str">
        <x:v>Готовность</x:v>
      </x:c>
      <x:c r="P5" s="27" t="str">
        <x:v>Комментарий</x:v>
      </x:c>
    </x:row>
    <x:row r="6" ht="44" customHeight="1">
      <x:c r="A6" s="38" t="str">
        <x:v>MOB-01</x:v>
      </x:c>
      <x:c r="B6" s="35" t="str">
        <x:v>App shell / router / DI (37 files)</x:v>
      </x:c>
      <x:c r="C6" s="35" t="str">
        <x:v>Mobile layer</x:v>
      </x:c>
      <x:c r="D6" s="41" t="str">
        <x:v>Готово local/mock</x:v>
      </x:c>
      <x:c r="E6" s="41" t="str">
        <x:v>Approved</x:v>
      </x:c>
      <x:c r="F6" s="41" t="str">
        <x:v>Local/mock</x:v>
      </x:c>
      <x:c r="G6" s="41" t="str">
        <x:v>Исторические зелёные</x:v>
      </x:c>
      <x:c r="H6" s="41" t="str">
        <x:v>Stabilization</x:v>
      </x:c>
      <x:c r="I6" s="41" t="str">
        <x:v>P0</x:v>
      </x:c>
      <x:c r="J6" s="35" t="str">
        <x:v>Перепроверить текущее dirty tree</x:v>
      </x:c>
      <x:c r="K6" s="35" t="str">
        <x:v>Current gate unknown</x:v>
      </x:c>
      <x:c r="L6" s="35" t="str">
        <x:v>Mobile Platform</x:v>
      </x:c>
      <x:c r="M6" s="35" t="str">
        <x:v>apps/mobile/lib/app</x:v>
      </x:c>
      <x:c r="N6" s="44" t="n">
        <x:v>46250</x:v>
      </x:c>
      <x:c r="O6" s="47" t="n">
        <x:f>IF(B6="","",AVERAGE(IFERROR(VLOOKUP(D6,'Справочники'!$A$5:$B$14,2,FALSE),0),IFERROR(VLOOKUP(E6,'Справочники'!$D$5:$E$12,2,FALSE),0),IFERROR(VLOOKUP(F6,'Справочники'!$G$5:$H$12,2,FALSE),0),IFERROR(VLOOKUP(G6,'Справочники'!$J$5:$K$12,2,FALSE),0)))</x:f>
        <x:v>0.7375</x:v>
      </x:c>
      <x:c r="P6" s="35" t="str"/>
    </x:row>
    <x:row r="7" ht="44" customHeight="1">
      <x:c r="A7" s="39" t="str">
        <x:v>MOB-02</x:v>
      </x:c>
      <x:c r="B7" s="36" t="str">
        <x:v>Core (19 files)</x:v>
      </x:c>
      <x:c r="C7" s="36" t="str">
        <x:v>Mobile layer</x:v>
      </x:c>
      <x:c r="D7" s="42" t="str">
        <x:v>Готово local/mock</x:v>
      </x:c>
      <x:c r="E7" s="42" t="str">
        <x:v>Approved</x:v>
      </x:c>
      <x:c r="F7" s="42" t="str">
        <x:v>Local/mock</x:v>
      </x:c>
      <x:c r="G7" s="42" t="str">
        <x:v>Исторические зелёные</x:v>
      </x:c>
      <x:c r="H7" s="42" t="str">
        <x:v>Architecture boundaries</x:v>
      </x:c>
      <x:c r="I7" s="42" t="str">
        <x:v>P0</x:v>
      </x:c>
      <x:c r="J7" s="36" t="str">
        <x:v>Сохранять provider-neutral core</x:v>
      </x:c>
      <x:c r="K7" s="36" t="str"/>
      <x:c r="L7" s="36" t="str">
        <x:v>Mobile Platform</x:v>
      </x:c>
      <x:c r="M7" s="36" t="str">
        <x:v>apps/mobile/lib/core</x:v>
      </x:c>
      <x:c r="N7" s="45" t="n">
        <x:v>46250</x:v>
      </x:c>
      <x:c r="O7" s="48" t="n">
        <x:f>IF(B7="","",AVERAGE(IFERROR(VLOOKUP(D7,'Справочники'!$A$5:$B$14,2,FALSE),0),IFERROR(VLOOKUP(E7,'Справочники'!$D$5:$E$12,2,FALSE),0),IFERROR(VLOOKUP(F7,'Справочники'!$G$5:$H$12,2,FALSE),0),IFERROR(VLOOKUP(G7,'Справочники'!$J$5:$K$12,2,FALSE),0)))</x:f>
        <x:v>0.7375</x:v>
      </x:c>
      <x:c r="P7" s="36" t="str"/>
    </x:row>
    <x:row r="8" ht="44" customHeight="1">
      <x:c r="A8" s="39" t="str">
        <x:v>MOB-03</x:v>
      </x:c>
      <x:c r="B8" s="36" t="str">
        <x:v>Auth (21 files)</x:v>
      </x:c>
      <x:c r="C8" s="36" t="str">
        <x:v>Feature</x:v>
      </x:c>
      <x:c r="D8" s="42" t="str">
        <x:v>Готово local/mock</x:v>
      </x:c>
      <x:c r="E8" s="42" t="str">
        <x:v>Approved</x:v>
      </x:c>
      <x:c r="F8" s="42" t="str">
        <x:v>Local/mock</x:v>
      </x:c>
      <x:c r="G8" s="42" t="str">
        <x:v>Частично</x:v>
      </x:c>
      <x:c r="H8" s="42" t="str">
        <x:v>Production Auth gated</x:v>
      </x:c>
      <x:c r="I8" s="42" t="str">
        <x:v>P0</x:v>
      </x:c>
      <x:c r="J8" s="36" t="str">
        <x:v>Закрыть mock recovery, затем production slice</x:v>
      </x:c>
      <x:c r="K8" s="36" t="str">
        <x:v>Firebase/Identity</x:v>
      </x:c>
      <x:c r="L8" s="36" t="str">
        <x:v>Identity</x:v>
      </x:c>
      <x:c r="M8" s="36" t="str">
        <x:v>apps/mobile/lib/features/auth</x:v>
      </x:c>
      <x:c r="N8" s="45" t="n">
        <x:v>46250</x:v>
      </x:c>
      <x:c r="O8" s="48" t="n">
        <x:f>IF(B8="","",AVERAGE(IFERROR(VLOOKUP(D8,'Справочники'!$A$5:$B$14,2,FALSE),0),IFERROR(VLOOKUP(E8,'Справочники'!$D$5:$E$12,2,FALSE),0),IFERROR(VLOOKUP(F8,'Справочники'!$G$5:$H$12,2,FALSE),0),IFERROR(VLOOKUP(G8,'Справочники'!$J$5:$K$12,2,FALSE),0)))</x:f>
        <x:v>0.6625</x:v>
      </x:c>
      <x:c r="P8" s="36" t="str"/>
    </x:row>
    <x:row r="9" ht="44" customHeight="1">
      <x:c r="A9" s="39" t="str">
        <x:v>MOB-04</x:v>
      </x:c>
      <x:c r="B9" s="36" t="str">
        <x:v>Discover (52 files)</x:v>
      </x:c>
      <x:c r="C9" s="36" t="str">
        <x:v>Feature</x:v>
      </x:c>
      <x:c r="D9" s="42" t="str">
        <x:v>Готово local/mock</x:v>
      </x:c>
      <x:c r="E9" s="42" t="str">
        <x:v>Approved</x:v>
      </x:c>
      <x:c r="F9" s="42" t="str">
        <x:v>Local/mock</x:v>
      </x:c>
      <x:c r="G9" s="42" t="str">
        <x:v>Исторические зелёные</x:v>
      </x:c>
      <x:c r="H9" s="42" t="str">
        <x:v>Remote data gated</x:v>
      </x:c>
      <x:c r="I9" s="42" t="str">
        <x:v>P1</x:v>
      </x:c>
      <x:c r="J9" s="36" t="str">
        <x:v>Подключить adapters на M8</x:v>
      </x:c>
      <x:c r="K9" s="36" t="str">
        <x:v>Backend R3</x:v>
      </x:c>
      <x:c r="L9" s="36" t="str">
        <x:v>Discover</x:v>
      </x:c>
      <x:c r="M9" s="36" t="str">
        <x:v>apps/mobile/lib/features/discover</x:v>
      </x:c>
      <x:c r="N9" s="45" t="n">
        <x:v>46250</x:v>
      </x:c>
      <x:c r="O9" s="48" t="n">
        <x:f>IF(B9="","",AVERAGE(IFERROR(VLOOKUP(D9,'Справочники'!$A$5:$B$14,2,FALSE),0),IFERROR(VLOOKUP(E9,'Справочники'!$D$5:$E$12,2,FALSE),0),IFERROR(VLOOKUP(F9,'Справочники'!$G$5:$H$12,2,FALSE),0),IFERROR(VLOOKUP(G9,'Справочники'!$J$5:$K$12,2,FALSE),0)))</x:f>
        <x:v>0.7375</x:v>
      </x:c>
      <x:c r="P9" s="36" t="str"/>
    </x:row>
    <x:row r="10" ht="44" customHeight="1">
      <x:c r="A10" s="39" t="str">
        <x:v>MOB-05</x:v>
      </x:c>
      <x:c r="B10" s="36" t="str">
        <x:v>Create (210 files)</x:v>
      </x:c>
      <x:c r="C10" s="36" t="str">
        <x:v>Feature</x:v>
      </x:c>
      <x:c r="D10" s="42" t="str">
        <x:v>Готово local/mock</x:v>
      </x:c>
      <x:c r="E10" s="42" t="str">
        <x:v>Approved</x:v>
      </x:c>
      <x:c r="F10" s="42" t="str">
        <x:v>Local/mock</x:v>
      </x:c>
      <x:c r="G10" s="42" t="str">
        <x:v>Исторические зелёные</x:v>
      </x:c>
      <x:c r="H10" s="42" t="str">
        <x:v>Publisher/backend gated</x:v>
      </x:c>
      <x:c r="I10" s="42" t="str">
        <x:v>P0</x:v>
      </x:c>
      <x:c r="J10" s="36" t="str">
        <x:v>Закрыть type gaps и PublisherRef</x:v>
      </x:c>
      <x:c r="K10" s="36" t="str">
        <x:v>Identity/Content backend</x:v>
      </x:c>
      <x:c r="L10" s="36" t="str">
        <x:v>Create</x:v>
      </x:c>
      <x:c r="M10" s="36" t="str">
        <x:v>apps/mobile/lib/features/create</x:v>
      </x:c>
      <x:c r="N10" s="45" t="n">
        <x:v>46250</x:v>
      </x:c>
      <x:c r="O10" s="48" t="n">
        <x:f>IF(B10="","",AVERAGE(IFERROR(VLOOKUP(D10,'Справочники'!$A$5:$B$14,2,FALSE),0),IFERROR(VLOOKUP(E10,'Справочники'!$D$5:$E$12,2,FALSE),0),IFERROR(VLOOKUP(F10,'Справочники'!$G$5:$H$12,2,FALSE),0),IFERROR(VLOOKUP(G10,'Справочники'!$J$5:$K$12,2,FALSE),0)))</x:f>
        <x:v>0.7375</x:v>
      </x:c>
      <x:c r="P10" s="36" t="str"/>
    </x:row>
    <x:row r="11" ht="44" customHeight="1">
      <x:c r="A11" s="39" t="str">
        <x:v>MOB-06</x:v>
      </x:c>
      <x:c r="B11" s="36" t="str">
        <x:v>Identity (20 files)</x:v>
      </x:c>
      <x:c r="C11" s="36" t="str">
        <x:v>Feature</x:v>
      </x:c>
      <x:c r="D11" s="42" t="str">
        <x:v>Review</x:v>
      </x:c>
      <x:c r="E11" s="42" t="str">
        <x:v>Approved</x:v>
      </x:c>
      <x:c r="F11" s="42" t="str">
        <x:v>Local/mock</x:v>
      </x:c>
      <x:c r="G11" s="42" t="str">
        <x:v>Частично</x:v>
      </x:c>
      <x:c r="H11" s="42" t="str">
        <x:v>IDP-03A/04A/05A</x:v>
      </x:c>
      <x:c r="I11" s="42" t="str">
        <x:v>P0</x:v>
      </x:c>
      <x:c r="J11" s="36" t="str">
        <x:v>Закрыть IDP-04A и IDP-05A</x:v>
      </x:c>
      <x:c r="K11" s="36" t="str">
        <x:v>Shared tree</x:v>
      </x:c>
      <x:c r="L11" s="36" t="str">
        <x:v>Identity</x:v>
      </x:c>
      <x:c r="M11" s="36" t="str">
        <x:v>apps/mobile/lib/features/identity</x:v>
      </x:c>
      <x:c r="N11" s="45" t="n">
        <x:v>46250</x:v>
      </x:c>
      <x:c r="O11" s="48" t="n">
        <x:f>IF(B11="","",AVERAGE(IFERROR(VLOOKUP(D11,'Справочники'!$A$5:$B$14,2,FALSE),0),IFERROR(VLOOKUP(E11,'Справочники'!$D$5:$E$12,2,FALSE),0),IFERROR(VLOOKUP(F11,'Справочники'!$G$5:$H$12,2,FALSE),0),IFERROR(VLOOKUP(G11,'Справочники'!$J$5:$K$12,2,FALSE),0)))</x:f>
        <x:v>0.6375000000000001</x:v>
      </x:c>
      <x:c r="P11" s="36" t="str"/>
    </x:row>
    <x:row r="12" ht="44" customHeight="1">
      <x:c r="A12" s="39" t="str">
        <x:v>MOB-07</x:v>
      </x:c>
      <x:c r="B12" s="36" t="str">
        <x:v>Booking (8 files)</x:v>
      </x:c>
      <x:c r="C12" s="36" t="str">
        <x:v>Feature/domain</x:v>
      </x:c>
      <x:c r="D12" s="42" t="str">
        <x:v>Готово local/mock</x:v>
      </x:c>
      <x:c r="E12" s="42" t="str">
        <x:v>Approved</x:v>
      </x:c>
      <x:c r="F12" s="42" t="str">
        <x:v>Pure domain</x:v>
      </x:c>
      <x:c r="G12" s="42" t="str">
        <x:v>Исторические зелёные</x:v>
      </x:c>
      <x:c r="H12" s="42" t="str">
        <x:v>No runtime/UI</x:v>
      </x:c>
      <x:c r="I12" s="42" t="str">
        <x:v>P1</x:v>
      </x:c>
      <x:c r="J12" s="36" t="str">
        <x:v>Не подключать до authoritative backend</x:v>
      </x:c>
      <x:c r="K12" s="36" t="str">
        <x:v>ECL-03C</x:v>
      </x:c>
      <x:c r="L12" s="36" t="str">
        <x:v>Booking</x:v>
      </x:c>
      <x:c r="M12" s="36" t="str">
        <x:v>apps/mobile/lib/features/booking</x:v>
      </x:c>
      <x:c r="N12" s="45" t="n">
        <x:v>46250</x:v>
      </x:c>
      <x:c r="O12" s="48" t="n">
        <x:f>IF(B12="","",AVERAGE(IFERROR(VLOOKUP(D12,'Справочники'!$A$5:$B$14,2,FALSE),0),IFERROR(VLOOKUP(E12,'Справочники'!$D$5:$E$12,2,FALSE),0),IFERROR(VLOOKUP(F12,'Справочники'!$G$5:$H$12,2,FALSE),0),IFERROR(VLOOKUP(G12,'Справочники'!$J$5:$K$12,2,FALSE),0)))</x:f>
        <x:v>0.7</x:v>
      </x:c>
      <x:c r="P12" s="36" t="str"/>
    </x:row>
    <x:row r="13" ht="44" customHeight="1">
      <x:c r="A13" s="39" t="str">
        <x:v>MOB-08</x:v>
      </x:c>
      <x:c r="B13" s="36" t="str">
        <x:v>AI assist (10 files)</x:v>
      </x:c>
      <x:c r="C13" s="36" t="str">
        <x:v>Feature foundation</x:v>
      </x:c>
      <x:c r="D13" s="42" t="str">
        <x:v>Готово local/mock</x:v>
      </x:c>
      <x:c r="E13" s="42" t="str">
        <x:v>Approved</x:v>
      </x:c>
      <x:c r="F13" s="42" t="str">
        <x:v>Local/mock</x:v>
      </x:c>
      <x:c r="G13" s="42" t="str">
        <x:v>Исторические зелёные</x:v>
      </x:c>
      <x:c r="H13" s="42" t="str">
        <x:v>Provider gated</x:v>
      </x:c>
      <x:c r="I13" s="42" t="str">
        <x:v>P2</x:v>
      </x:c>
      <x:c r="J13" s="36" t="str">
        <x:v>Подключать consumer-by-consumer</x:v>
      </x:c>
      <x:c r="K13" s="36" t="str">
        <x:v>Backend proxy</x:v>
      </x:c>
      <x:c r="L13" s="36" t="str">
        <x:v>AI</x:v>
      </x:c>
      <x:c r="M13" s="36" t="str">
        <x:v>apps/mobile/lib/features/ai_assist</x:v>
      </x:c>
      <x:c r="N13" s="45" t="n">
        <x:v>46250</x:v>
      </x:c>
      <x:c r="O13" s="48" t="n">
        <x:f>IF(B13="","",AVERAGE(IFERROR(VLOOKUP(D13,'Справочники'!$A$5:$B$14,2,FALSE),0),IFERROR(VLOOKUP(E13,'Справочники'!$D$5:$E$12,2,FALSE),0),IFERROR(VLOOKUP(F13,'Справочники'!$G$5:$H$12,2,FALSE),0),IFERROR(VLOOKUP(G13,'Справочники'!$J$5:$K$12,2,FALSE),0)))</x:f>
        <x:v>0.7375</x:v>
      </x:c>
      <x:c r="P13" s="36" t="str"/>
    </x:row>
    <x:row r="14" ht="44" customHeight="1">
      <x:c r="A14" s="39" t="str">
        <x:v>MOB-09</x:v>
      </x:c>
      <x:c r="B14" s="36" t="str">
        <x:v>Favorites (12 files)</x:v>
      </x:c>
      <x:c r="C14" s="36" t="str">
        <x:v>Feature</x:v>
      </x:c>
      <x:c r="D14" s="42" t="str">
        <x:v>Готово local/mock</x:v>
      </x:c>
      <x:c r="E14" s="42" t="str">
        <x:v>Approved</x:v>
      </x:c>
      <x:c r="F14" s="42" t="str">
        <x:v>Local/mock</x:v>
      </x:c>
      <x:c r="G14" s="42" t="str">
        <x:v>Исторические зелёные</x:v>
      </x:c>
      <x:c r="H14" s="42" t="str">
        <x:v>Remote sync gated</x:v>
      </x:c>
      <x:c r="I14" s="42" t="str">
        <x:v>P2</x:v>
      </x:c>
      <x:c r="J14" s="36" t="str">
        <x:v>Спланировать owner-scoped backend sync</x:v>
      </x:c>
      <x:c r="K14" s="36" t="str">
        <x:v>BCK-12</x:v>
      </x:c>
      <x:c r="L14" s="36" t="str">
        <x:v>User Platform</x:v>
      </x:c>
      <x:c r="M14" s="36" t="str">
        <x:v>apps/mobile/lib/features/favorites</x:v>
      </x:c>
      <x:c r="N14" s="45" t="n">
        <x:v>46250</x:v>
      </x:c>
      <x:c r="O14" s="48" t="n">
        <x:f>IF(B14="","",AVERAGE(IFERROR(VLOOKUP(D14,'Справочники'!$A$5:$B$14,2,FALSE),0),IFERROR(VLOOKUP(E14,'Справочники'!$D$5:$E$12,2,FALSE),0),IFERROR(VLOOKUP(F14,'Справочники'!$G$5:$H$12,2,FALSE),0),IFERROR(VLOOKUP(G14,'Справочники'!$J$5:$K$12,2,FALSE),0)))</x:f>
        <x:v>0.7375</x:v>
      </x:c>
      <x:c r="P14" s="36" t="str"/>
    </x:row>
    <x:row r="15" ht="44" customHeight="1">
      <x:c r="A15" s="39" t="str">
        <x:v>MOB-10</x:v>
      </x:c>
      <x:c r="B15" s="36" t="str">
        <x:v>Notifications (11 files)</x:v>
      </x:c>
      <x:c r="C15" s="36" t="str">
        <x:v>Feature</x:v>
      </x:c>
      <x:c r="D15" s="42" t="str">
        <x:v>Готово local/mock</x:v>
      </x:c>
      <x:c r="E15" s="42" t="str">
        <x:v>Approved</x:v>
      </x:c>
      <x:c r="F15" s="42" t="str">
        <x:v>Local/mock</x:v>
      </x:c>
      <x:c r="G15" s="42" t="str">
        <x:v>Исторические зелёные</x:v>
      </x:c>
      <x:c r="H15" s="42" t="str">
        <x:v>Delivery gated</x:v>
      </x:c>
      <x:c r="I15" s="42" t="str">
        <x:v>P1</x:v>
      </x:c>
      <x:c r="J15" s="36" t="str">
        <x:v>Подключить authoritative inbox/outbox</x:v>
      </x:c>
      <x:c r="K15" s="36" t="str">
        <x:v>BCK-13</x:v>
      </x:c>
      <x:c r="L15" s="36" t="str">
        <x:v>Notifications</x:v>
      </x:c>
      <x:c r="M15" s="36" t="str">
        <x:v>apps/mobile/lib/features/notifications</x:v>
      </x:c>
      <x:c r="N15" s="45" t="n">
        <x:v>46250</x:v>
      </x:c>
      <x:c r="O15" s="48" t="n">
        <x:f>IF(B15="","",AVERAGE(IFERROR(VLOOKUP(D15,'Справочники'!$A$5:$B$14,2,FALSE),0),IFERROR(VLOOKUP(E15,'Справочники'!$D$5:$E$12,2,FALSE),0),IFERROR(VLOOKUP(F15,'Справочники'!$G$5:$H$12,2,FALSE),0),IFERROR(VLOOKUP(G15,'Справочники'!$J$5:$K$12,2,FALSE),0)))</x:f>
        <x:v>0.7375</x:v>
      </x:c>
      <x:c r="P15" s="36" t="str"/>
    </x:row>
    <x:row r="16" ht="44" customHeight="1">
      <x:c r="A16" s="39" t="str">
        <x:v>MOB-11</x:v>
      </x:c>
      <x:c r="B16" s="36" t="str">
        <x:v>Visit History (12 files)</x:v>
      </x:c>
      <x:c r="C16" s="36" t="str">
        <x:v>Feature</x:v>
      </x:c>
      <x:c r="D16" s="42" t="str">
        <x:v>Готово local/mock</x:v>
      </x:c>
      <x:c r="E16" s="42" t="str">
        <x:v>Approved</x:v>
      </x:c>
      <x:c r="F16" s="42" t="str">
        <x:v>Local/mock</x:v>
      </x:c>
      <x:c r="G16" s="42" t="str">
        <x:v>Исторические зелёные</x:v>
      </x:c>
      <x:c r="H16" s="42" t="str">
        <x:v>Remote persistence gated</x:v>
      </x:c>
      <x:c r="I16" s="42" t="str">
        <x:v>P2</x:v>
      </x:c>
      <x:c r="J16" s="36" t="str">
        <x:v>Сохранить explicit self-report semantics</x:v>
      </x:c>
      <x:c r="K16" s="36" t="str">
        <x:v>BCK-12</x:v>
      </x:c>
      <x:c r="L16" s="36" t="str">
        <x:v>User Platform</x:v>
      </x:c>
      <x:c r="M16" s="36" t="str">
        <x:v>apps/mobile/lib/features/visited</x:v>
      </x:c>
      <x:c r="N16" s="45" t="n">
        <x:v>46250</x:v>
      </x:c>
      <x:c r="O16" s="48" t="n">
        <x:f>IF(B16="","",AVERAGE(IFERROR(VLOOKUP(D16,'Справочники'!$A$5:$B$14,2,FALSE),0),IFERROR(VLOOKUP(E16,'Справочники'!$D$5:$E$12,2,FALSE),0),IFERROR(VLOOKUP(F16,'Справочники'!$G$5:$H$12,2,FALSE),0),IFERROR(VLOOKUP(G16,'Справочники'!$J$5:$K$12,2,FALSE),0)))</x:f>
        <x:v>0.7375</x:v>
      </x:c>
      <x:c r="P16" s="36" t="str"/>
    </x:row>
    <x:row r="17" ht="44" customHeight="1">
      <x:c r="A17" s="39" t="str">
        <x:v>MOB-12</x:v>
      </x:c>
      <x:c r="B17" s="36" t="str">
        <x:v>Legacy scenarios (5 files)</x:v>
      </x:c>
      <x:c r="C17" s="36" t="str">
        <x:v>Migration debt</x:v>
      </x:c>
      <x:c r="D17" s="42" t="str">
        <x:v>Частично</x:v>
      </x:c>
      <x:c r="E17" s="42" t="str">
        <x:v>Approved</x:v>
      </x:c>
      <x:c r="F17" s="42" t="str">
        <x:v>Local/mock</x:v>
      </x:c>
      <x:c r="G17" s="42" t="str">
        <x:v>Исторические зелёные</x:v>
      </x:c>
      <x:c r="H17" s="42" t="str">
        <x:v>M10 cleanup</x:v>
      </x:c>
      <x:c r="I17" s="42" t="str">
        <x:v>P3</x:v>
      </x:c>
      <x:c r="J17" s="36" t="str">
        <x:v>Не удалять до consumer-zero</x:v>
      </x:c>
      <x:c r="K17" s="36" t="str">
        <x:v>Observation window</x:v>
      </x:c>
      <x:c r="L17" s="36" t="str">
        <x:v>Planning</x:v>
      </x:c>
      <x:c r="M17" s="36" t="str">
        <x:v>apps/mobile/lib/features/scenarios</x:v>
      </x:c>
      <x:c r="N17" s="45" t="n">
        <x:v>46250</x:v>
      </x:c>
      <x:c r="O17" s="48" t="n">
        <x:f>IF(B17="","",AVERAGE(IFERROR(VLOOKUP(D17,'Справочники'!$A$5:$B$14,2,FALSE),0),IFERROR(VLOOKUP(E17,'Справочники'!$D$5:$E$12,2,FALSE),0),IFERROR(VLOOKUP(F17,'Справочники'!$G$5:$H$12,2,FALSE),0),IFERROR(VLOOKUP(G17,'Справочники'!$J$5:$K$12,2,FALSE),0)))</x:f>
        <x:v>0.6625</x:v>
      </x:c>
      <x:c r="P17" s="36" t="str"/>
    </x:row>
    <x:row r="18" ht="44" customHeight="1">
      <x:c r="A18" s="39" t="str">
        <x:v>MOB-13</x:v>
      </x:c>
      <x:c r="B18" s="36" t="str">
        <x:v>Design system (13 files)</x:v>
      </x:c>
      <x:c r="C18" s="36" t="str">
        <x:v>Shared package</x:v>
      </x:c>
      <x:c r="D18" s="42" t="str">
        <x:v>Готово local/mock</x:v>
      </x:c>
      <x:c r="E18" s="42" t="str">
        <x:v>Approved</x:v>
      </x:c>
      <x:c r="F18" s="42" t="str">
        <x:v>Local/mock</x:v>
      </x:c>
      <x:c r="G18" s="42" t="str">
        <x:v>Исторические зелёные</x:v>
      </x:c>
      <x:c r="H18" s="42" t="str">
        <x:v>UI governance</x:v>
      </x:c>
      <x:c r="I18" s="42" t="str">
        <x:v>P1</x:v>
      </x:c>
      <x:c r="J18" s="36" t="str">
        <x:v>Поддерживать tokens/components boundaries</x:v>
      </x:c>
      <x:c r="K18" s="36" t="str"/>
      <x:c r="L18" s="36" t="str">
        <x:v>Design System</x:v>
      </x:c>
      <x:c r="M18" s="36" t="str">
        <x:v>packages/design_system/lib</x:v>
      </x:c>
      <x:c r="N18" s="45" t="n">
        <x:v>46250</x:v>
      </x:c>
      <x:c r="O18" s="48" t="n">
        <x:f>IF(B18="","",AVERAGE(IFERROR(VLOOKUP(D18,'Справочники'!$A$5:$B$14,2,FALSE),0),IFERROR(VLOOKUP(E18,'Справочники'!$D$5:$E$12,2,FALSE),0),IFERROR(VLOOKUP(F18,'Справочники'!$G$5:$H$12,2,FALSE),0),IFERROR(VLOOKUP(G18,'Справочники'!$J$5:$K$12,2,FALSE),0)))</x:f>
        <x:v>0.7375</x:v>
      </x:c>
      <x:c r="P18" s="36" t="str"/>
    </x:row>
    <x:row r="19" ht="44" customHeight="1">
      <x:c r="A19" s="39" t="str">
        <x:v>MOB-14</x:v>
      </x:c>
      <x:c r="B19" s="36" t="str">
        <x:v>Remote adapters (M8)</x:v>
      </x:c>
      <x:c r="C19" s="36" t="str">
        <x:v>Mobile integration</x:v>
      </x:c>
      <x:c r="D19" s="42" t="str">
        <x:v>План</x:v>
      </x:c>
      <x:c r="E19" s="42" t="str">
        <x:v>Draft</x:v>
      </x:c>
      <x:c r="F19" s="42" t="str">
        <x:v>Отсутствует</x:v>
      </x:c>
      <x:c r="G19" s="42" t="str">
        <x:v>Не запускались</x:v>
      </x:c>
      <x:c r="H19" s="42" t="str">
        <x:v>Backend R3 + BCK-18</x:v>
      </x:c>
      <x:c r="I19" s="42" t="str">
        <x:v>P0</x:v>
      </x:c>
      <x:c r="J19" s="36" t="str">
        <x:v>Создать typed remote adapters</x:v>
      </x:c>
      <x:c r="K19" s="36" t="str">
        <x:v>Backend absent</x:v>
      </x:c>
      <x:c r="L19" s="36" t="str">
        <x:v>Mobile Platform</x:v>
      </x:c>
      <x:c r="M19" s="36" t="str">
        <x:v>docs/product/RECHARGE_BACKEND_DELIVERY_MAP.md</x:v>
      </x:c>
      <x:c r="N19" s="45"/>
      <x:c r="O19" s="48" t="n">
        <x:f>IF(B19="","",AVERAGE(IFERROR(VLOOKUP(D19,'Справочники'!$A$5:$B$14,2,FALSE),0),IFERROR(VLOOKUP(E19,'Справочники'!$D$5:$E$12,2,FALSE),0),IFERROR(VLOOKUP(F19,'Справочники'!$G$5:$H$12,2,FALSE),0),IFERROR(VLOOKUP(G19,'Справочники'!$J$5:$K$12,2,FALSE),0)))</x:f>
        <x:v>0.0875</x:v>
      </x:c>
      <x:c r="P19" s="36" t="str"/>
    </x:row>
    <x:row r="20" ht="44" customHeight="1">
      <x:c r="A20" s="39" t="str">
        <x:v>MOB-15</x:v>
      </x:c>
      <x:c r="B20" s="36" t="str">
        <x:v>Remote cutover (M9)</x:v>
      </x:c>
      <x:c r="C20" s="36" t="str">
        <x:v>Mobile integration</x:v>
      </x:c>
      <x:c r="D20" s="42" t="str">
        <x:v>План</x:v>
      </x:c>
      <x:c r="E20" s="42" t="str">
        <x:v>Draft</x:v>
      </x:c>
      <x:c r="F20" s="42" t="str">
        <x:v>Отсутствует</x:v>
      </x:c>
      <x:c r="G20" s="42" t="str">
        <x:v>Не запускались</x:v>
      </x:c>
      <x:c r="H20" s="42" t="str">
        <x:v>M8 observation</x:v>
      </x:c>
      <x:c r="I20" s="42" t="str">
        <x:v>P1</x:v>
      </x:c>
      <x:c r="J20" s="36" t="str">
        <x:v>Cutover per-domain с rollback</x:v>
      </x:c>
      <x:c r="K20" s="36" t="str">
        <x:v>Remote adapters</x:v>
      </x:c>
      <x:c r="L20" s="36" t="str">
        <x:v>Mobile Platform</x:v>
      </x:c>
      <x:c r="M20" s="36" t="str">
        <x:v>docs/product/RECHARGE_BACKEND_DELIVERY_MAP.md</x:v>
      </x:c>
      <x:c r="N20" s="45"/>
      <x:c r="O20" s="48" t="n">
        <x:f>IF(B20="","",AVERAGE(IFERROR(VLOOKUP(D20,'Справочники'!$A$5:$B$14,2,FALSE),0),IFERROR(VLOOKUP(E20,'Справочники'!$D$5:$E$12,2,FALSE),0),IFERROR(VLOOKUP(F20,'Справочники'!$G$5:$H$12,2,FALSE),0),IFERROR(VLOOKUP(G20,'Справочники'!$J$5:$K$12,2,FALSE),0)))</x:f>
        <x:v>0.0875</x:v>
      </x:c>
      <x:c r="P20" s="36" t="str"/>
    </x:row>
    <x:row r="21" ht="44" customHeight="1">
      <x:c r="A21" s="39" t="str">
        <x:v>MOB-16</x:v>
      </x:c>
      <x:c r="B21" s="36" t="str">
        <x:v>Localization en/ru/lv</x:v>
      </x:c>
      <x:c r="C21" s="36" t="str">
        <x:v>Mobile foundation</x:v>
      </x:c>
      <x:c r="D21" s="42" t="str">
        <x:v>Отсутствует</x:v>
      </x:c>
      <x:c r="E21" s="42" t="str">
        <x:v>Отсутствует</x:v>
      </x:c>
      <x:c r="F21" s="42" t="str">
        <x:v>Отсутствует</x:v>
      </x:c>
      <x:c r="G21" s="42" t="str">
        <x:v>Не запускались</x:v>
      </x:c>
      <x:c r="H21" s="42" t="str">
        <x:v>BCK-20 / OD-10</x:v>
      </x:c>
      <x:c r="I21" s="42" t="str">
        <x:v>P0</x:v>
      </x:c>
      <x:c r="J21" s="36" t="str">
        <x:v>Создать Approved l10n slice и lib/l10n</x:v>
      </x:c>
      <x:c r="K21" s="36" t="str">
        <x:v>Spec missing</x:v>
      </x:c>
      <x:c r="L21" s="36" t="str">
        <x:v>Mobile/Reference Data</x:v>
      </x:c>
      <x:c r="M21" s="36" t="str">
        <x:v>docs/product/VISION.md</x:v>
      </x:c>
      <x:c r="N21" s="45"/>
      <x:c r="O21" s="48" t="n">
        <x:f>IF(B21="","",AVERAGE(IFERROR(VLOOKUP(D21,'Справочники'!$A$5:$B$14,2,FALSE),0),IFERROR(VLOOKUP(E21,'Справочники'!$D$5:$E$12,2,FALSE),0),IFERROR(VLOOKUP(F21,'Справочники'!$G$5:$H$12,2,FALSE),0),IFERROR(VLOOKUP(G21,'Справочники'!$J$5:$K$12,2,FALSE),0)))</x:f>
        <x:v>0</x:v>
      </x:c>
      <x:c r="P21" s="36" t="str"/>
    </x:row>
    <x:row r="22" ht="44" customHeight="1">
      <x:c r="A22" s="39" t="str">
        <x:v>MOB-17</x:v>
      </x:c>
      <x:c r="B22" s="36" t="str">
        <x:v>Android/iOS device QA</x:v>
      </x:c>
      <x:c r="C22" s="36" t="str">
        <x:v>Quality gate</x:v>
      </x:c>
      <x:c r="D22" s="42" t="str">
        <x:v>Частично</x:v>
      </x:c>
      <x:c r="E22" s="42" t="str">
        <x:v>Approved</x:v>
      </x:c>
      <x:c r="F22" s="42" t="str">
        <x:v>Local/mock</x:v>
      </x:c>
      <x:c r="G22" s="42" t="str">
        <x:v>Device pending</x:v>
      </x:c>
      <x:c r="H22" s="42" t="str">
        <x:v>Release + Route</x:v>
      </x:c>
      <x:c r="I22" s="42" t="str">
        <x:v>P0</x:v>
      </x:c>
      <x:c r="J22" s="36" t="str">
        <x:v>Run Android/iOS device acceptance and current full gate</x:v>
      </x:c>
      <x:c r="K22" s="36" t="str">
        <x:v>Real devices + current analyzer/full tests</x:v>
      </x:c>
      <x:c r="L22" s="36" t="str">
        <x:v>Mobile QA</x:v>
      </x:c>
      <x:c r="M22" s="36" t="str">
        <x:v>docs/architecture/PLATFORM_FOUNDATION_SPEC.md</x:v>
      </x:c>
      <x:c r="N22" s="45" t="n">
        <x:v>46250.5</x:v>
      </x:c>
      <x:c r="O22" s="48" t="n">
        <x:f>IF(B22="","",AVERAGE(IFERROR(VLOOKUP(D22,'Справочники'!$A$5:$B$14,2,FALSE),0),IFERROR(VLOOKUP(E22,'Справочники'!$D$5:$E$12,2,FALSE),0),IFERROR(VLOOKUP(F22,'Справочники'!$G$5:$H$12,2,FALSE),0),IFERROR(VLOOKUP(G22,'Справочники'!$J$5:$K$12,2,FALSE),0)))</x:f>
        <x:v>0.575</x:v>
      </x:c>
      <x:c r="P22" s="36" t="str">
        <x:v>Route GPS targeted evidence exists; overall current gate is not complete</x:v>
      </x:c>
    </x:row>
    <x:row r="23" ht="44" customHeight="1">
      <x:c r="A23" s="39" t="str">
        <x:v>S1-AUTH-01</x:v>
      </x:c>
      <x:c r="B23" s="36" t="str">
        <x:v>Mock Auth baseline</x:v>
      </x:c>
      <x:c r="C23" s="36" t="str">
        <x:v>Delivered slice</x:v>
      </x:c>
      <x:c r="D23" s="42" t="str">
        <x:v>Готово local/mock</x:v>
      </x:c>
      <x:c r="E23" s="42" t="str">
        <x:v>Approved</x:v>
      </x:c>
      <x:c r="F23" s="42" t="str">
        <x:v>Local/mock</x:v>
      </x:c>
      <x:c r="G23" s="42" t="str">
        <x:v>Исторические зелёные</x:v>
      </x:c>
      <x:c r="H23" s="42" t="str">
        <x:v>Done checkpoint</x:v>
      </x:c>
      <x:c r="I23" s="42" t="str">
        <x:v>P0</x:v>
      </x:c>
      <x:c r="J23" s="36" t="str">
        <x:v>Production Auth remains R2/G2</x:v>
      </x:c>
      <x:c r="K23" s="36" t="str">
        <x:v>Recovery gap remains</x:v>
      </x:c>
      <x:c r="L23" s="36" t="str">
        <x:v>Identity / Mobile</x:v>
      </x:c>
      <x:c r="M23" s="36" t="str">
        <x:v>docs/product/S1_AUTH_SPEC.md</x:v>
      </x:c>
      <x:c r="N23" s="45" t="n">
        <x:v>46250.5</x:v>
      </x:c>
      <x:c r="O23" s="48" t="n">
        <x:f>IF(B23="","",AVERAGE(IFERROR(VLOOKUP(D23,'Справочники'!$A$5:$B$14,2,FALSE),0),IFERROR(VLOOKUP(E23,'Справочники'!$D$5:$E$12,2,FALSE),0),IFERROR(VLOOKUP(F23,'Справочники'!$G$5:$H$12,2,FALSE),0),IFERROR(VLOOKUP(G23,'Справочники'!$J$5:$K$12,2,FALSE),0)))</x:f>
        <x:v>0.7375</x:v>
      </x:c>
      <x:c r="P23" s="36" t="str"/>
    </x:row>
    <x:row r="24" ht="44" customHeight="1">
      <x:c r="A24" s="39" t="str">
        <x:v>S1-CORE-01</x:v>
      </x:c>
      <x:c r="B24" s="36" t="str">
        <x:v>App core baseline</x:v>
      </x:c>
      <x:c r="C24" s="36" t="str">
        <x:v>Delivered slice</x:v>
      </x:c>
      <x:c r="D24" s="42" t="str">
        <x:v>Готово local/mock</x:v>
      </x:c>
      <x:c r="E24" s="42" t="str">
        <x:v>Approved</x:v>
      </x:c>
      <x:c r="F24" s="42" t="str">
        <x:v>Local/mock</x:v>
      </x:c>
      <x:c r="G24" s="42" t="str">
        <x:v>Исторические зелёные</x:v>
      </x:c>
      <x:c r="H24" s="42" t="str">
        <x:v>Done checkpoint</x:v>
      </x:c>
      <x:c r="I24" s="42" t="str">
        <x:v>P1</x:v>
      </x:c>
      <x:c r="J24" s="36" t="str">
        <x:v>Maintain architecture boundaries</x:v>
      </x:c>
      <x:c r="K24" s="36" t="str"/>
      <x:c r="L24" s="36" t="str">
        <x:v>Mobile Platform</x:v>
      </x:c>
      <x:c r="M24" s="36" t="str">
        <x:v>docs/product/S1_CORE_SPEC.md</x:v>
      </x:c>
      <x:c r="N24" s="45" t="n">
        <x:v>46250.5</x:v>
      </x:c>
      <x:c r="O24" s="48" t="n">
        <x:f>IF(B24="","",AVERAGE(IFERROR(VLOOKUP(D24,'Справочники'!$A$5:$B$14,2,FALSE),0),IFERROR(VLOOKUP(E24,'Справочники'!$D$5:$E$12,2,FALSE),0),IFERROR(VLOOKUP(F24,'Справочники'!$G$5:$H$12,2,FALSE),0),IFERROR(VLOOKUP(G24,'Справочники'!$J$5:$K$12,2,FALSE),0)))</x:f>
        <x:v>0.7375</x:v>
      </x:c>
      <x:c r="P24" s="36" t="str"/>
    </x:row>
    <x:row r="25" ht="44" customHeight="1">
      <x:c r="A25" s="39" t="str">
        <x:v>S1-DISC-01-MOB</x:v>
      </x:c>
      <x:c r="B25" s="36" t="str">
        <x:v>Discover mobile baseline</x:v>
      </x:c>
      <x:c r="C25" s="36" t="str">
        <x:v>Delivered slice</x:v>
      </x:c>
      <x:c r="D25" s="42" t="str">
        <x:v>Готово local/mock</x:v>
      </x:c>
      <x:c r="E25" s="42" t="str">
        <x:v>Approved</x:v>
      </x:c>
      <x:c r="F25" s="42" t="str">
        <x:v>Local/mock</x:v>
      </x:c>
      <x:c r="G25" s="42" t="str">
        <x:v>Исторические зелёные</x:v>
      </x:c>
      <x:c r="H25" s="42" t="str">
        <x:v>Done checkpoint</x:v>
      </x:c>
      <x:c r="I25" s="42" t="str">
        <x:v>P1</x:v>
      </x:c>
      <x:c r="J25" s="36" t="str">
        <x:v>Remote adapter later</x:v>
      </x:c>
      <x:c r="K25" s="36" t="str">
        <x:v>BCK-08</x:v>
      </x:c>
      <x:c r="L25" s="36" t="str">
        <x:v>Discover</x:v>
      </x:c>
      <x:c r="M25" s="36" t="str">
        <x:v>docs/product/S1_DISC_SPEC.md</x:v>
      </x:c>
      <x:c r="N25" s="45" t="n">
        <x:v>46250.5</x:v>
      </x:c>
      <x:c r="O25" s="48" t="n">
        <x:f>IF(B25="","",AVERAGE(IFERROR(VLOOKUP(D25,'Справочники'!$A$5:$B$14,2,FALSE),0),IFERROR(VLOOKUP(E25,'Справочники'!$D$5:$E$12,2,FALSE),0),IFERROR(VLOOKUP(F25,'Справочники'!$G$5:$H$12,2,FALSE),0),IFERROR(VLOOKUP(G25,'Справочники'!$J$5:$K$12,2,FALSE),0)))</x:f>
        <x:v>0.7375</x:v>
      </x:c>
      <x:c r="P25" s="36" t="str"/>
    </x:row>
    <x:row r="26" ht="44" customHeight="1">
      <x:c r="A26" s="39" t="str">
        <x:v>S2-DISC-02-MOB</x:v>
      </x:c>
      <x:c r="B26" s="36" t="str">
        <x:v>Map mobile slice</x:v>
      </x:c>
      <x:c r="C26" s="36" t="str">
        <x:v>Delivered slice</x:v>
      </x:c>
      <x:c r="D26" s="42" t="str">
        <x:v>Готово local/mock</x:v>
      </x:c>
      <x:c r="E26" s="42" t="str">
        <x:v>Approved</x:v>
      </x:c>
      <x:c r="F26" s="42" t="str">
        <x:v>Local/mock</x:v>
      </x:c>
      <x:c r="G26" s="42" t="str">
        <x:v>Исторические зелёные</x:v>
      </x:c>
      <x:c r="H26" s="42" t="str">
        <x:v>Done checkpoint</x:v>
      </x:c>
      <x:c r="I26" s="42" t="str">
        <x:v>P1</x:v>
      </x:c>
      <x:c r="J26" s="36" t="str">
        <x:v>Real location/routing/provider slices</x:v>
      </x:c>
      <x:c r="K26" s="36" t="str">
        <x:v>Current location mock</x:v>
      </x:c>
      <x:c r="L26" s="36" t="str">
        <x:v>Discover</x:v>
      </x:c>
      <x:c r="M26" s="36" t="str">
        <x:v>docs/product/S2_DISC_02_MAP_SPEC.md</x:v>
      </x:c>
      <x:c r="N26" s="45" t="n">
        <x:v>46250.5</x:v>
      </x:c>
      <x:c r="O26" s="48" t="n">
        <x:f>IF(B26="","",AVERAGE(IFERROR(VLOOKUP(D26,'Справочники'!$A$5:$B$14,2,FALSE),0),IFERROR(VLOOKUP(E26,'Справочники'!$D$5:$E$12,2,FALSE),0),IFERROR(VLOOKUP(F26,'Справочники'!$G$5:$H$12,2,FALSE),0),IFERROR(VLOOKUP(G26,'Справочники'!$J$5:$K$12,2,FALSE),0)))</x:f>
        <x:v>0.7375</x:v>
      </x:c>
      <x:c r="P26" s="36" t="str"/>
    </x:row>
    <x:row r="27" ht="44" customHeight="1">
      <x:c r="A27" s="39" t="str">
        <x:v>S2-EXP-01</x:v>
      </x:c>
      <x:c r="B27" s="36" t="str">
        <x:v>Profile/Settings baseline</x:v>
      </x:c>
      <x:c r="C27" s="36" t="str">
        <x:v>Delivered slice</x:v>
      </x:c>
      <x:c r="D27" s="42" t="str">
        <x:v>Готово local/mock</x:v>
      </x:c>
      <x:c r="E27" s="42" t="str">
        <x:v>Approved</x:v>
      </x:c>
      <x:c r="F27" s="42" t="str">
        <x:v>Local/mock</x:v>
      </x:c>
      <x:c r="G27" s="42" t="str">
        <x:v>Исторические зелёные</x:v>
      </x:c>
      <x:c r="H27" s="42" t="str">
        <x:v>Done checkpoint</x:v>
      </x:c>
      <x:c r="I27" s="42" t="str">
        <x:v>P1</x:v>
      </x:c>
      <x:c r="J27" s="36" t="str">
        <x:v>Superseded semantics handled by Identity program</x:v>
      </x:c>
      <x:c r="K27" s="36" t="str">
        <x:v>Legacy profile UI debt</x:v>
      </x:c>
      <x:c r="L27" s="36" t="str">
        <x:v>Identity / Mobile</x:v>
      </x:c>
      <x:c r="M27" s="36" t="str">
        <x:v>docs/product/S2_EXP_01_PROFILE_SETTINGS_SPEC.md</x:v>
      </x:c>
      <x:c r="N27" s="45" t="n">
        <x:v>46250.5</x:v>
      </x:c>
      <x:c r="O27" s="48" t="n">
        <x:f>IF(B27="","",AVERAGE(IFERROR(VLOOKUP(D27,'Справочники'!$A$5:$B$14,2,FALSE),0),IFERROR(VLOOKUP(E27,'Справочники'!$D$5:$E$12,2,FALSE),0),IFERROR(VLOOKUP(F27,'Справочники'!$G$5:$H$12,2,FALSE),0),IFERROR(VLOOKUP(G27,'Справочники'!$J$5:$K$12,2,FALSE),0)))</x:f>
        <x:v>0.7375</x:v>
      </x:c>
      <x:c r="P27" s="36" t="str"/>
    </x:row>
    <x:row r="28" ht="44" customHeight="1">
      <x:c r="A28" s="39" t="str">
        <x:v>S2-FAV-01-MOB</x:v>
      </x:c>
      <x:c r="B28" s="36" t="str">
        <x:v>Favorites mobile slice</x:v>
      </x:c>
      <x:c r="C28" s="36" t="str">
        <x:v>Delivered slice</x:v>
      </x:c>
      <x:c r="D28" s="42" t="str">
        <x:v>Готово local/mock</x:v>
      </x:c>
      <x:c r="E28" s="42" t="str">
        <x:v>Approved</x:v>
      </x:c>
      <x:c r="F28" s="42" t="str">
        <x:v>Local/mock</x:v>
      </x:c>
      <x:c r="G28" s="42" t="str">
        <x:v>Исторические зелёные</x:v>
      </x:c>
      <x:c r="H28" s="42" t="str">
        <x:v>Done checkpoint</x:v>
      </x:c>
      <x:c r="I28" s="42" t="str">
        <x:v>P2</x:v>
      </x:c>
      <x:c r="J28" s="36" t="str">
        <x:v>Remote sync after BCK-12</x:v>
      </x:c>
      <x:c r="K28" s="36" t="str">
        <x:v>Backend absent</x:v>
      </x:c>
      <x:c r="L28" s="36" t="str">
        <x:v>User Platform</x:v>
      </x:c>
      <x:c r="M28" s="36" t="str">
        <x:v>docs/architecture/LAUNCH_STATUS.md</x:v>
      </x:c>
      <x:c r="N28" s="45" t="n">
        <x:v>46250.5</x:v>
      </x:c>
      <x:c r="O28" s="48" t="n">
        <x:f>IF(B28="","",AVERAGE(IFERROR(VLOOKUP(D28,'Справочники'!$A$5:$B$14,2,FALSE),0),IFERROR(VLOOKUP(E28,'Справочники'!$D$5:$E$12,2,FALSE),0),IFERROR(VLOOKUP(F28,'Справочники'!$G$5:$H$12,2,FALSE),0),IFERROR(VLOOKUP(G28,'Справочники'!$J$5:$K$12,2,FALSE),0)))</x:f>
        <x:v>0.7375</x:v>
      </x:c>
      <x:c r="P28" s="36" t="str"/>
    </x:row>
    <x:row r="29" ht="44" customHeight="1">
      <x:c r="A29" s="39" t="str">
        <x:v>S3-CRT-01</x:v>
      </x:c>
      <x:c r="B29" s="36" t="str">
        <x:v>Create Hub baseline</x:v>
      </x:c>
      <x:c r="C29" s="36" t="str">
        <x:v>Delivered slice</x:v>
      </x:c>
      <x:c r="D29" s="42" t="str">
        <x:v>Готово local/mock</x:v>
      </x:c>
      <x:c r="E29" s="42" t="str">
        <x:v>Approved</x:v>
      </x:c>
      <x:c r="F29" s="42" t="str">
        <x:v>Local/mock</x:v>
      </x:c>
      <x:c r="G29" s="42" t="str">
        <x:v>Исторические зелёные</x:v>
      </x:c>
      <x:c r="H29" s="42" t="str">
        <x:v>Done checkpoint</x:v>
      </x:c>
      <x:c r="I29" s="42" t="str">
        <x:v>P0</x:v>
      </x:c>
      <x:c r="J29" s="36" t="str">
        <x:v>Use detailed Create Hub sheet for gaps</x:v>
      </x:c>
      <x:c r="K29" s="36" t="str">
        <x:v>Production publication absent</x:v>
      </x:c>
      <x:c r="L29" s="36" t="str">
        <x:v>Create Platform</x:v>
      </x:c>
      <x:c r="M29" s="36" t="str">
        <x:v>docs/product/S3_CRT_01_CREATE_SPEC.md</x:v>
      </x:c>
      <x:c r="N29" s="45" t="n">
        <x:v>46250.5</x:v>
      </x:c>
      <x:c r="O29" s="48" t="n">
        <x:f>IF(B29="","",AVERAGE(IFERROR(VLOOKUP(D29,'Справочники'!$A$5:$B$14,2,FALSE),0),IFERROR(VLOOKUP(E29,'Справочники'!$D$5:$E$12,2,FALSE),0),IFERROR(VLOOKUP(F29,'Справочники'!$G$5:$H$12,2,FALSE),0),IFERROR(VLOOKUP(G29,'Справочники'!$J$5:$K$12,2,FALSE),0)))</x:f>
        <x:v>0.7375</x:v>
      </x:c>
      <x:c r="P29" s="36" t="str"/>
    </x:row>
    <x:row r="30" ht="44" customHeight="1">
      <x:c r="A30" s="39" t="str">
        <x:v>S3-NOTIF-01-MOB</x:v>
      </x:c>
      <x:c r="B30" s="36" t="str">
        <x:v>Notifications mobile slice</x:v>
      </x:c>
      <x:c r="C30" s="36" t="str">
        <x:v>Delivered slice</x:v>
      </x:c>
      <x:c r="D30" s="42" t="str">
        <x:v>Готово local/mock</x:v>
      </x:c>
      <x:c r="E30" s="42" t="str">
        <x:v>Approved</x:v>
      </x:c>
      <x:c r="F30" s="42" t="str">
        <x:v>Local/mock</x:v>
      </x:c>
      <x:c r="G30" s="42" t="str">
        <x:v>Исторические зелёные</x:v>
      </x:c>
      <x:c r="H30" s="42" t="str">
        <x:v>Done checkpoint</x:v>
      </x:c>
      <x:c r="I30" s="42" t="str">
        <x:v>P1</x:v>
      </x:c>
      <x:c r="J30" s="36" t="str">
        <x:v>Backend inbox/push later</x:v>
      </x:c>
      <x:c r="K30" s="36" t="str">
        <x:v>BCK-13 absent</x:v>
      </x:c>
      <x:c r="L30" s="36" t="str">
        <x:v>Notifications</x:v>
      </x:c>
      <x:c r="M30" s="36" t="str">
        <x:v>docs/product/S3_NOTIF_01_NOTIFICATIONS_SPEC.md</x:v>
      </x:c>
      <x:c r="N30" s="45" t="n">
        <x:v>46250.5</x:v>
      </x:c>
      <x:c r="O30" s="48" t="n">
        <x:f>IF(B30="","",AVERAGE(IFERROR(VLOOKUP(D30,'Справочники'!$A$5:$B$14,2,FALSE),0),IFERROR(VLOOKUP(E30,'Справочники'!$D$5:$E$12,2,FALSE),0),IFERROR(VLOOKUP(F30,'Справочники'!$G$5:$H$12,2,FALSE),0),IFERROR(VLOOKUP(G30,'Справочники'!$J$5:$K$12,2,FALSE),0)))</x:f>
        <x:v>0.7375</x:v>
      </x:c>
      <x:c r="P30" s="36" t="str"/>
    </x:row>
    <x:row r="31" ht="44" customHeight="1">
      <x:c r="A31" s="39" t="str">
        <x:v>S3-REL-01-MOB</x:v>
      </x:c>
      <x:c r="B31" s="36" t="str">
        <x:v>Release readiness baseline</x:v>
      </x:c>
      <x:c r="C31" s="36" t="str">
        <x:v>Delivered slice</x:v>
      </x:c>
      <x:c r="D31" s="42" t="str">
        <x:v>Готово local/mock</x:v>
      </x:c>
      <x:c r="E31" s="42" t="str">
        <x:v>Approved</x:v>
      </x:c>
      <x:c r="F31" s="42" t="str">
        <x:v>Local/mock</x:v>
      </x:c>
      <x:c r="G31" s="42" t="str">
        <x:v>Исторические зелёные</x:v>
      </x:c>
      <x:c r="H31" s="42" t="str">
        <x:v>Historical checkpoint</x:v>
      </x:c>
      <x:c r="I31" s="42" t="str">
        <x:v>P1</x:v>
      </x:c>
      <x:c r="J31" s="36" t="str">
        <x:v>Run current gate before release</x:v>
      </x:c>
      <x:c r="K31" s="36" t="str">
        <x:v>Dirty tree/current tests unknown</x:v>
      </x:c>
      <x:c r="L31" s="36" t="str">
        <x:v>Release</x:v>
      </x:c>
      <x:c r="M31" s="36" t="str">
        <x:v>docs/product/S3_REL_01_RELEASE_READINESS_SPEC.md</x:v>
      </x:c>
      <x:c r="N31" s="45" t="n">
        <x:v>46250.5</x:v>
      </x:c>
      <x:c r="O31" s="48" t="n">
        <x:f>IF(B31="","",AVERAGE(IFERROR(VLOOKUP(D31,'Справочники'!$A$5:$B$14,2,FALSE),0),IFERROR(VLOOKUP(E31,'Справочники'!$D$5:$E$12,2,FALSE),0),IFERROR(VLOOKUP(F31,'Справочники'!$G$5:$H$12,2,FALSE),0),IFERROR(VLOOKUP(G31,'Справочники'!$J$5:$K$12,2,FALSE),0)))</x:f>
        <x:v>0.7375</x:v>
      </x:c>
      <x:c r="P31" s="36" t="str"/>
    </x:row>
    <x:row r="32" ht="44" customHeight="1">
      <x:c r="A32" s="39" t="str">
        <x:v>MOB-GEO-01</x:v>
      </x:c>
      <x:c r="B32" s="36" t="str">
        <x:v>Discover current location</x:v>
      </x:c>
      <x:c r="C32" s="36" t="str">
        <x:v>Runtime gap</x:v>
      </x:c>
      <x:c r="D32" s="42" t="str">
        <x:v>Частично</x:v>
      </x:c>
      <x:c r="E32" s="42" t="str">
        <x:v>Approved</x:v>
      </x:c>
      <x:c r="F32" s="42" t="str">
        <x:v>Local/mock</x:v>
      </x:c>
      <x:c r="G32" s="42" t="str">
        <x:v>Частично</x:v>
      </x:c>
      <x:c r="H32" s="42" t="str">
        <x:v>Separate location slice</x:v>
      </x:c>
      <x:c r="I32" s="42" t="str">
        <x:v>P1</x:v>
      </x:c>
      <x:c r="J32" s="36" t="str">
        <x:v>Connect consented real geolocation for Discover</x:v>
      </x:c>
      <x:c r="K32" s="36" t="str">
        <x:v>Currently Riga mock</x:v>
      </x:c>
      <x:c r="L32" s="36" t="str">
        <x:v>Discover / Platform</x:v>
      </x:c>
      <x:c r="M32" s="36" t="str">
        <x:v>AGENTS.md</x:v>
      </x:c>
      <x:c r="N32" s="45" t="n">
        <x:v>46250.5</x:v>
      </x:c>
      <x:c r="O32" s="48" t="n">
        <x:f>IF(B32="","",AVERAGE(IFERROR(VLOOKUP(D32,'Справочники'!$A$5:$B$14,2,FALSE),0),IFERROR(VLOOKUP(E32,'Справочники'!$D$5:$E$12,2,FALSE),0),IFERROR(VLOOKUP(F32,'Справочники'!$G$5:$H$12,2,FALSE),0),IFERROR(VLOOKUP(G32,'Справочники'!$J$5:$K$12,2,FALSE),0)))</x:f>
        <x:v>0.5875</x:v>
      </x:c>
      <x:c r="P32" s="36" t="str"/>
    </x:row>
    <x:row r="33" ht="44" customHeight="1">
      <x:c r="A33" s="39" t="str">
        <x:v>MOB-OFFLINE-01</x:v>
      </x:c>
      <x:c r="B33" s="36" t="str">
        <x:v>Offline/local-first coverage</x:v>
      </x:c>
      <x:c r="C33" s="36" t="str">
        <x:v>Cross-feature capability</x:v>
      </x:c>
      <x:c r="D33" s="42" t="str">
        <x:v>Частично</x:v>
      </x:c>
      <x:c r="E33" s="42" t="str">
        <x:v>Draft</x:v>
      </x:c>
      <x:c r="F33" s="42" t="str">
        <x:v>Local/mock</x:v>
      </x:c>
      <x:c r="G33" s="42" t="str">
        <x:v>Частично</x:v>
      </x:c>
      <x:c r="H33" s="42" t="str">
        <x:v>No global offline readiness claim</x:v>
      </x:c>
      <x:c r="I33" s="42" t="str">
        <x:v>P1</x:v>
      </x:c>
      <x:c r="J33" s="36" t="str">
        <x:v>Create explicit coverage matrix by feature</x:v>
      </x:c>
      <x:c r="K33" s="36" t="str">
        <x:v>No single accepted offline gate</x:v>
      </x:c>
      <x:c r="L33" s="36" t="str">
        <x:v>Mobile Platform</x:v>
      </x:c>
      <x:c r="M33" s="36" t="str">
        <x:v>docs/product/VISION.md</x:v>
      </x:c>
      <x:c r="N33" s="45" t="n">
        <x:v>46250.5</x:v>
      </x:c>
      <x:c r="O33" s="48" t="n">
        <x:f>IF(B33="","",AVERAGE(IFERROR(VLOOKUP(D33,'Справочники'!$A$5:$B$14,2,FALSE),0),IFERROR(VLOOKUP(E33,'Справочники'!$D$5:$E$12,2,FALSE),0),IFERROR(VLOOKUP(F33,'Справочники'!$G$5:$H$12,2,FALSE),0),IFERROR(VLOOKUP(G33,'Справочники'!$J$5:$K$12,2,FALSE),0)))</x:f>
        <x:v>0.42500000000000004</x:v>
      </x:c>
      <x:c r="P33" s="36" t="str"/>
    </x:row>
    <x:row r="34" ht="44" customHeight="1">
      <x:c r="A34" s="39" t="str">
        <x:v>MOB-PLAN-NAV-01</x:v>
      </x:c>
      <x:c r="B34" s="36" t="str">
        <x:v>Scenario/Quick Plan typed navigation</x:v>
      </x:c>
      <x:c r="C34" s="36" t="str">
        <x:v>Migration slice</x:v>
      </x:c>
      <x:c r="D34" s="42" t="str">
        <x:v>Готово local/mock</x:v>
      </x:c>
      <x:c r="E34" s="42" t="str">
        <x:v>Approved</x:v>
      </x:c>
      <x:c r="F34" s="42" t="str">
        <x:v>Local/mock</x:v>
      </x:c>
      <x:c r="G34" s="42" t="str">
        <x:v>Исторические зелёные</x:v>
      </x:c>
      <x:c r="H34" s="42" t="str">
        <x:v>Implemented locally</x:v>
      </x:c>
      <x:c r="I34" s="42" t="str">
        <x:v>P0</x:v>
      </x:c>
      <x:c r="J34" s="36" t="str">
        <x:v>Observe before M10 cleanup</x:v>
      </x:c>
      <x:c r="K34" s="36" t="str">
        <x:v>Legacy adapters retained</x:v>
      </x:c>
      <x:c r="L34" s="36" t="str">
        <x:v>Planning / Mobile</x:v>
      </x:c>
      <x:c r="M34" s="36" t="str">
        <x:v>docs/product/SCENARIO_QUICK_PLAN_BOUNDARY_MIGRATION_SLICE_SPEC.md</x:v>
      </x:c>
      <x:c r="N34" s="45" t="n">
        <x:v>46250.5</x:v>
      </x:c>
      <x:c r="O34" s="48" t="n">
        <x:f>IF(B34="","",AVERAGE(IFERROR(VLOOKUP(D34,'Справочники'!$A$5:$B$14,2,FALSE),0),IFERROR(VLOOKUP(E34,'Справочники'!$D$5:$E$12,2,FALSE),0),IFERROR(VLOOKUP(F34,'Справочники'!$G$5:$H$12,2,FALSE),0),IFERROR(VLOOKUP(G34,'Справочники'!$J$5:$K$12,2,FALSE),0)))</x:f>
        <x:v>0.7375</x:v>
      </x:c>
      <x:c r="P34" s="36" t="str"/>
    </x:row>
    <x:row r="35" ht="44" customHeight="1">
      <x:c r="A35" s="39" t="str">
        <x:v>MOB-PROD-00</x:v>
      </x:c>
      <x:c r="B35" s="36" t="str">
        <x:v>Production-connected mobile</x:v>
      </x:c>
      <x:c r="C35" s="36" t="str">
        <x:v>Production runtime</x:v>
      </x:c>
      <x:c r="D35" s="42" t="str">
        <x:v>Отсутствует</x:v>
      </x:c>
      <x:c r="E35" s="42" t="str">
        <x:v>Approved</x:v>
      </x:c>
      <x:c r="F35" s="42" t="str">
        <x:v>Отсутствует</x:v>
      </x:c>
      <x:c r="G35" s="42" t="str">
        <x:v>Не запускались</x:v>
      </x:c>
      <x:c r="H35" s="42" t="str">
        <x:v>M8/M9 + R3</x:v>
      </x:c>
      <x:c r="I35" s="42" t="str">
        <x:v>P0</x:v>
      </x:c>
      <x:c r="J35" s="36" t="str">
        <x:v>Remote adapters then controlled cutover</x:v>
      </x:c>
      <x:c r="K35" s="36" t="str">
        <x:v>Backend absent</x:v>
      </x:c>
      <x:c r="L35" s="36" t="str">
        <x:v>Mobile Platform</x:v>
      </x:c>
      <x:c r="M35" s="36" t="str">
        <x:v>docs/product/RECHARGE_BACKEND_DELIVERY_MAP.md</x:v>
      </x:c>
      <x:c r="N35" s="45" t="n">
        <x:v>46250.5</x:v>
      </x:c>
      <x:c r="O35" s="48" t="n">
        <x:f>IF(B35="","",AVERAGE(IFERROR(VLOOKUP(D35,'Справочники'!$A$5:$B$14,2,FALSE),0),IFERROR(VLOOKUP(E35,'Справочники'!$D$5:$E$12,2,FALSE),0),IFERROR(VLOOKUP(F35,'Справочники'!$G$5:$H$12,2,FALSE),0),IFERROR(VLOOKUP(G35,'Справочники'!$J$5:$K$12,2,FALSE),0)))</x:f>
        <x:v>0.225</x:v>
      </x:c>
      <x:c r="P35" s="36" t="str"/>
    </x:row>
    <x:row r="36" ht="44" customHeight="1">
      <x:c r="A36" s="39"/>
      <x:c r="B36" s="36"/>
      <x:c r="C36" s="36"/>
      <x:c r="D36" s="42"/>
      <x:c r="E36" s="42"/>
      <x:c r="F36" s="42"/>
      <x:c r="G36" s="42"/>
      <x:c r="H36" s="42"/>
      <x:c r="I36" s="42"/>
      <x:c r="J36" s="36"/>
      <x:c r="K36" s="36"/>
      <x:c r="L36" s="36"/>
      <x:c r="M36" s="36"/>
      <x:c r="N36" s="45"/>
      <x:c r="O36" s="48" t="str">
        <x:f>IF(B36="","",AVERAGE(IFERROR(VLOOKUP(D36,'Справочники'!$A$5:$B$14,2,FALSE),0),IFERROR(VLOOKUP(E36,'Справочники'!$D$5:$E$12,2,FALSE),0),IFERROR(VLOOKUP(F36,'Справочники'!$G$5:$H$12,2,FALSE),0),IFERROR(VLOOKUP(G36,'Справочники'!$J$5:$K$12,2,FALSE),0)))</x:f>
      </x:c>
      <x:c r="P36" s="36"/>
    </x:row>
    <x:row r="37" ht="44" customHeight="1">
      <x:c r="A37" s="39"/>
      <x:c r="B37" s="36"/>
      <x:c r="C37" s="36"/>
      <x:c r="D37" s="42"/>
      <x:c r="E37" s="42"/>
      <x:c r="F37" s="42"/>
      <x:c r="G37" s="42"/>
      <x:c r="H37" s="42"/>
      <x:c r="I37" s="42"/>
      <x:c r="J37" s="36"/>
      <x:c r="K37" s="36"/>
      <x:c r="L37" s="36"/>
      <x:c r="M37" s="36"/>
      <x:c r="N37" s="45"/>
      <x:c r="O37" s="48" t="str">
        <x:f>IF(B37="","",AVERAGE(IFERROR(VLOOKUP(D37,'Справочники'!$A$5:$B$14,2,FALSE),0),IFERROR(VLOOKUP(E37,'Справочники'!$D$5:$E$12,2,FALSE),0),IFERROR(VLOOKUP(F37,'Справочники'!$G$5:$H$12,2,FALSE),0),IFERROR(VLOOKUP(G37,'Справочники'!$J$5:$K$12,2,FALSE),0)))</x:f>
      </x:c>
      <x:c r="P37" s="36"/>
    </x:row>
    <x:row r="38" ht="44" customHeight="1">
      <x:c r="A38" s="39"/>
      <x:c r="B38" s="36"/>
      <x:c r="C38" s="36"/>
      <x:c r="D38" s="42"/>
      <x:c r="E38" s="42"/>
      <x:c r="F38" s="42"/>
      <x:c r="G38" s="42"/>
      <x:c r="H38" s="42"/>
      <x:c r="I38" s="42"/>
      <x:c r="J38" s="36"/>
      <x:c r="K38" s="36"/>
      <x:c r="L38" s="36"/>
      <x:c r="M38" s="36"/>
      <x:c r="N38" s="45"/>
      <x:c r="O38" s="48" t="str">
        <x:f>IF(B38="","",AVERAGE(IFERROR(VLOOKUP(D38,'Справочники'!$A$5:$B$14,2,FALSE),0),IFERROR(VLOOKUP(E38,'Справочники'!$D$5:$E$12,2,FALSE),0),IFERROR(VLOOKUP(F38,'Справочники'!$G$5:$H$12,2,FALSE),0),IFERROR(VLOOKUP(G38,'Справочники'!$J$5:$K$12,2,FALSE),0)))</x:f>
      </x:c>
      <x:c r="P38" s="36"/>
    </x:row>
    <x:row r="39" ht="44" customHeight="1">
      <x:c r="A39" s="39"/>
      <x:c r="B39" s="36"/>
      <x:c r="C39" s="36"/>
      <x:c r="D39" s="42"/>
      <x:c r="E39" s="42"/>
      <x:c r="F39" s="42"/>
      <x:c r="G39" s="42"/>
      <x:c r="H39" s="42"/>
      <x:c r="I39" s="42"/>
      <x:c r="J39" s="36"/>
      <x:c r="K39" s="36"/>
      <x:c r="L39" s="36"/>
      <x:c r="M39" s="36"/>
      <x:c r="N39" s="45"/>
      <x:c r="O39" s="48" t="str">
        <x:f>IF(B39="","",AVERAGE(IFERROR(VLOOKUP(D39,'Справочники'!$A$5:$B$14,2,FALSE),0),IFERROR(VLOOKUP(E39,'Справочники'!$D$5:$E$12,2,FALSE),0),IFERROR(VLOOKUP(F39,'Справочники'!$G$5:$H$12,2,FALSE),0),IFERROR(VLOOKUP(G39,'Справочники'!$J$5:$K$12,2,FALSE),0)))</x:f>
      </x:c>
      <x:c r="P39" s="36"/>
    </x:row>
    <x:row r="40" ht="44" customHeight="1">
      <x:c r="A40" s="39"/>
      <x:c r="B40" s="36"/>
      <x:c r="C40" s="36"/>
      <x:c r="D40" s="42"/>
      <x:c r="E40" s="42"/>
      <x:c r="F40" s="42"/>
      <x:c r="G40" s="42"/>
      <x:c r="H40" s="42"/>
      <x:c r="I40" s="42"/>
      <x:c r="J40" s="36"/>
      <x:c r="K40" s="36"/>
      <x:c r="L40" s="36"/>
      <x:c r="M40" s="36"/>
      <x:c r="N40" s="45"/>
      <x:c r="O40" s="48" t="str">
        <x:f>IF(B40="","",AVERAGE(IFERROR(VLOOKUP(D40,'Справочники'!$A$5:$B$14,2,FALSE),0),IFERROR(VLOOKUP(E40,'Справочники'!$D$5:$E$12,2,FALSE),0),IFERROR(VLOOKUP(F40,'Справочники'!$G$5:$H$12,2,FALSE),0),IFERROR(VLOOKUP(G40,'Справочники'!$J$5:$K$12,2,FALSE),0)))</x:f>
      </x:c>
      <x:c r="P40" s="36"/>
    </x:row>
    <x:row r="41" ht="44" customHeight="1">
      <x:c r="A41" s="39"/>
      <x:c r="B41" s="36"/>
      <x:c r="C41" s="36"/>
      <x:c r="D41" s="42"/>
      <x:c r="E41" s="42"/>
      <x:c r="F41" s="42"/>
      <x:c r="G41" s="42"/>
      <x:c r="H41" s="42"/>
      <x:c r="I41" s="42"/>
      <x:c r="J41" s="36"/>
      <x:c r="K41" s="36"/>
      <x:c r="L41" s="36"/>
      <x:c r="M41" s="36"/>
      <x:c r="N41" s="45"/>
      <x:c r="O41" s="48" t="str">
        <x:f>IF(B41="","",AVERAGE(IFERROR(VLOOKUP(D41,'Справочники'!$A$5:$B$14,2,FALSE),0),IFERROR(VLOOKUP(E41,'Справочники'!$D$5:$E$12,2,FALSE),0),IFERROR(VLOOKUP(F41,'Справочники'!$G$5:$H$12,2,FALSE),0),IFERROR(VLOOKUP(G41,'Справочники'!$J$5:$K$12,2,FALSE),0)))</x:f>
      </x:c>
      <x:c r="P41" s="36"/>
    </x:row>
    <x:row r="42" ht="44" customHeight="1">
      <x:c r="A42" s="39"/>
      <x:c r="B42" s="36"/>
      <x:c r="C42" s="36"/>
      <x:c r="D42" s="42"/>
      <x:c r="E42" s="42"/>
      <x:c r="F42" s="42"/>
      <x:c r="G42" s="42"/>
      <x:c r="H42" s="42"/>
      <x:c r="I42" s="42"/>
      <x:c r="J42" s="36"/>
      <x:c r="K42" s="36"/>
      <x:c r="L42" s="36"/>
      <x:c r="M42" s="36"/>
      <x:c r="N42" s="45"/>
      <x:c r="O42" s="48" t="str">
        <x:f>IF(B42="","",AVERAGE(IFERROR(VLOOKUP(D42,'Справочники'!$A$5:$B$14,2,FALSE),0),IFERROR(VLOOKUP(E42,'Справочники'!$D$5:$E$12,2,FALSE),0),IFERROR(VLOOKUP(F42,'Справочники'!$G$5:$H$12,2,FALSE),0),IFERROR(VLOOKUP(G42,'Справочники'!$J$5:$K$12,2,FALSE),0)))</x:f>
      </x:c>
      <x:c r="P42" s="36"/>
    </x:row>
    <x:row r="43" ht="44" customHeight="1">
      <x:c r="A43" s="39"/>
      <x:c r="B43" s="36"/>
      <x:c r="C43" s="36"/>
      <x:c r="D43" s="42"/>
      <x:c r="E43" s="42"/>
      <x:c r="F43" s="42"/>
      <x:c r="G43" s="42"/>
      <x:c r="H43" s="42"/>
      <x:c r="I43" s="42"/>
      <x:c r="J43" s="36"/>
      <x:c r="K43" s="36"/>
      <x:c r="L43" s="36"/>
      <x:c r="M43" s="36"/>
      <x:c r="N43" s="45"/>
      <x:c r="O43" s="48" t="str">
        <x:f>IF(B43="","",AVERAGE(IFERROR(VLOOKUP(D43,'Справочники'!$A$5:$B$14,2,FALSE),0),IFERROR(VLOOKUP(E43,'Справочники'!$D$5:$E$12,2,FALSE),0),IFERROR(VLOOKUP(F43,'Справочники'!$G$5:$H$12,2,FALSE),0),IFERROR(VLOOKUP(G43,'Справочники'!$J$5:$K$12,2,FALSE),0)))</x:f>
      </x:c>
      <x:c r="P43" s="36"/>
    </x:row>
    <x:row r="44" ht="44" customHeight="1">
      <x:c r="A44" s="39"/>
      <x:c r="B44" s="36"/>
      <x:c r="C44" s="36"/>
      <x:c r="D44" s="42"/>
      <x:c r="E44" s="42"/>
      <x:c r="F44" s="42"/>
      <x:c r="G44" s="42"/>
      <x:c r="H44" s="42"/>
      <x:c r="I44" s="42"/>
      <x:c r="J44" s="36"/>
      <x:c r="K44" s="36"/>
      <x:c r="L44" s="36"/>
      <x:c r="M44" s="36"/>
      <x:c r="N44" s="45"/>
      <x:c r="O44" s="48" t="str">
        <x:f>IF(B44="","",AVERAGE(IFERROR(VLOOKUP(D44,'Справочники'!$A$5:$B$14,2,FALSE),0),IFERROR(VLOOKUP(E44,'Справочники'!$D$5:$E$12,2,FALSE),0),IFERROR(VLOOKUP(F44,'Справочники'!$G$5:$H$12,2,FALSE),0),IFERROR(VLOOKUP(G44,'Справочники'!$J$5:$K$12,2,FALSE),0)))</x:f>
      </x:c>
      <x:c r="P44" s="36"/>
    </x:row>
    <x:row r="45" ht="44" customHeight="1">
      <x:c r="A45" s="39"/>
      <x:c r="B45" s="36"/>
      <x:c r="C45" s="36"/>
      <x:c r="D45" s="42"/>
      <x:c r="E45" s="42"/>
      <x:c r="F45" s="42"/>
      <x:c r="G45" s="42"/>
      <x:c r="H45" s="42"/>
      <x:c r="I45" s="42"/>
      <x:c r="J45" s="36"/>
      <x:c r="K45" s="36"/>
      <x:c r="L45" s="36"/>
      <x:c r="M45" s="36"/>
      <x:c r="N45" s="45"/>
      <x:c r="O45" s="48" t="str">
        <x:f>IF(B45="","",AVERAGE(IFERROR(VLOOKUP(D45,'Справочники'!$A$5:$B$14,2,FALSE),0),IFERROR(VLOOKUP(E45,'Справочники'!$D$5:$E$12,2,FALSE),0),IFERROR(VLOOKUP(F45,'Справочники'!$G$5:$H$12,2,FALSE),0),IFERROR(VLOOKUP(G45,'Справочники'!$J$5:$K$12,2,FALSE),0)))</x:f>
      </x:c>
      <x:c r="P45" s="36"/>
    </x:row>
    <x:row r="46" ht="44" customHeight="1">
      <x:c r="A46" s="39"/>
      <x:c r="B46" s="36"/>
      <x:c r="C46" s="36"/>
      <x:c r="D46" s="42"/>
      <x:c r="E46" s="42"/>
      <x:c r="F46" s="42"/>
      <x:c r="G46" s="42"/>
      <x:c r="H46" s="42"/>
      <x:c r="I46" s="42"/>
      <x:c r="J46" s="36"/>
      <x:c r="K46" s="36"/>
      <x:c r="L46" s="36"/>
      <x:c r="M46" s="36"/>
      <x:c r="N46" s="45"/>
      <x:c r="O46" s="48" t="str">
        <x:f>IF(B46="","",AVERAGE(IFERROR(VLOOKUP(D46,'Справочники'!$A$5:$B$14,2,FALSE),0),IFERROR(VLOOKUP(E46,'Справочники'!$D$5:$E$12,2,FALSE),0),IFERROR(VLOOKUP(F46,'Справочники'!$G$5:$H$12,2,FALSE),0),IFERROR(VLOOKUP(G46,'Справочники'!$J$5:$K$12,2,FALSE),0)))</x:f>
      </x:c>
      <x:c r="P46" s="36"/>
    </x:row>
    <x:row r="47" ht="44" customHeight="1">
      <x:c r="A47" s="39"/>
      <x:c r="B47" s="36"/>
      <x:c r="C47" s="36"/>
      <x:c r="D47" s="42"/>
      <x:c r="E47" s="42"/>
      <x:c r="F47" s="42"/>
      <x:c r="G47" s="42"/>
      <x:c r="H47" s="42"/>
      <x:c r="I47" s="42"/>
      <x:c r="J47" s="36"/>
      <x:c r="K47" s="36"/>
      <x:c r="L47" s="36"/>
      <x:c r="M47" s="36"/>
      <x:c r="N47" s="45"/>
      <x:c r="O47" s="48" t="str">
        <x:f>IF(B47="","",AVERAGE(IFERROR(VLOOKUP(D47,'Справочники'!$A$5:$B$14,2,FALSE),0),IFERROR(VLOOKUP(E47,'Справочники'!$D$5:$E$12,2,FALSE),0),IFERROR(VLOOKUP(F47,'Справочники'!$G$5:$H$12,2,FALSE),0),IFERROR(VLOOKUP(G47,'Справочники'!$J$5:$K$12,2,FALSE),0)))</x:f>
      </x:c>
      <x:c r="P47" s="36"/>
    </x:row>
    <x:row r="48" ht="44" customHeight="1">
      <x:c r="A48" s="39"/>
      <x:c r="B48" s="36"/>
      <x:c r="C48" s="36"/>
      <x:c r="D48" s="42"/>
      <x:c r="E48" s="42"/>
      <x:c r="F48" s="42"/>
      <x:c r="G48" s="42"/>
      <x:c r="H48" s="42"/>
      <x:c r="I48" s="42"/>
      <x:c r="J48" s="36"/>
      <x:c r="K48" s="36"/>
      <x:c r="L48" s="36"/>
      <x:c r="M48" s="36"/>
      <x:c r="N48" s="45"/>
      <x:c r="O48" s="48" t="str">
        <x:f>IF(B48="","",AVERAGE(IFERROR(VLOOKUP(D48,'Справочники'!$A$5:$B$14,2,FALSE),0),IFERROR(VLOOKUP(E48,'Справочники'!$D$5:$E$12,2,FALSE),0),IFERROR(VLOOKUP(F48,'Справочники'!$G$5:$H$12,2,FALSE),0),IFERROR(VLOOKUP(G48,'Справочники'!$J$5:$K$12,2,FALSE),0)))</x:f>
      </x:c>
      <x:c r="P48" s="36"/>
    </x:row>
    <x:row r="49" ht="44" customHeight="1">
      <x:c r="A49" s="39"/>
      <x:c r="B49" s="36"/>
      <x:c r="C49" s="36"/>
      <x:c r="D49" s="42"/>
      <x:c r="E49" s="42"/>
      <x:c r="F49" s="42"/>
      <x:c r="G49" s="42"/>
      <x:c r="H49" s="42"/>
      <x:c r="I49" s="42"/>
      <x:c r="J49" s="36"/>
      <x:c r="K49" s="36"/>
      <x:c r="L49" s="36"/>
      <x:c r="M49" s="36"/>
      <x:c r="N49" s="45"/>
      <x:c r="O49" s="48" t="str">
        <x:f>IF(B49="","",AVERAGE(IFERROR(VLOOKUP(D49,'Справочники'!$A$5:$B$14,2,FALSE),0),IFERROR(VLOOKUP(E49,'Справочники'!$D$5:$E$12,2,FALSE),0),IFERROR(VLOOKUP(F49,'Справочники'!$G$5:$H$12,2,FALSE),0),IFERROR(VLOOKUP(G49,'Справочники'!$J$5:$K$12,2,FALSE),0)))</x:f>
      </x:c>
      <x:c r="P49" s="36"/>
    </x:row>
    <x:row r="50" ht="44" customHeight="1">
      <x:c r="A50" s="39"/>
      <x:c r="B50" s="36"/>
      <x:c r="C50" s="36"/>
      <x:c r="D50" s="42"/>
      <x:c r="E50" s="42"/>
      <x:c r="F50" s="42"/>
      <x:c r="G50" s="42"/>
      <x:c r="H50" s="42"/>
      <x:c r="I50" s="42"/>
      <x:c r="J50" s="36"/>
      <x:c r="K50" s="36"/>
      <x:c r="L50" s="36"/>
      <x:c r="M50" s="36"/>
      <x:c r="N50" s="45"/>
      <x:c r="O50" s="48" t="str">
        <x:f>IF(B50="","",AVERAGE(IFERROR(VLOOKUP(D50,'Справочники'!$A$5:$B$14,2,FALSE),0),IFERROR(VLOOKUP(E50,'Справочники'!$D$5:$E$12,2,FALSE),0),IFERROR(VLOOKUP(F50,'Справочники'!$G$5:$H$12,2,FALSE),0),IFERROR(VLOOKUP(G50,'Справочники'!$J$5:$K$12,2,FALSE),0)))</x:f>
      </x:c>
      <x:c r="P50" s="36"/>
    </x:row>
    <x:row r="51" ht="44" customHeight="1">
      <x:c r="A51" s="39"/>
      <x:c r="B51" s="36"/>
      <x:c r="C51" s="36"/>
      <x:c r="D51" s="42"/>
      <x:c r="E51" s="42"/>
      <x:c r="F51" s="42"/>
      <x:c r="G51" s="42"/>
      <x:c r="H51" s="42"/>
      <x:c r="I51" s="42"/>
      <x:c r="J51" s="36"/>
      <x:c r="K51" s="36"/>
      <x:c r="L51" s="36"/>
      <x:c r="M51" s="36"/>
      <x:c r="N51" s="45"/>
      <x:c r="O51" s="48" t="str">
        <x:f>IF(B51="","",AVERAGE(IFERROR(VLOOKUP(D51,'Справочники'!$A$5:$B$14,2,FALSE),0),IFERROR(VLOOKUP(E51,'Справочники'!$D$5:$E$12,2,FALSE),0),IFERROR(VLOOKUP(F51,'Справочники'!$G$5:$H$12,2,FALSE),0),IFERROR(VLOOKUP(G51,'Справочники'!$J$5:$K$12,2,FALSE),0)))</x:f>
      </x:c>
      <x:c r="P51" s="36"/>
    </x:row>
    <x:row r="52" ht="44" customHeight="1">
      <x:c r="A52" s="39"/>
      <x:c r="B52" s="36"/>
      <x:c r="C52" s="36"/>
      <x:c r="D52" s="42"/>
      <x:c r="E52" s="42"/>
      <x:c r="F52" s="42"/>
      <x:c r="G52" s="42"/>
      <x:c r="H52" s="42"/>
      <x:c r="I52" s="42"/>
      <x:c r="J52" s="36"/>
      <x:c r="K52" s="36"/>
      <x:c r="L52" s="36"/>
      <x:c r="M52" s="36"/>
      <x:c r="N52" s="45"/>
      <x:c r="O52" s="48" t="str">
        <x:f>IF(B52="","",AVERAGE(IFERROR(VLOOKUP(D52,'Справочники'!$A$5:$B$14,2,FALSE),0),IFERROR(VLOOKUP(E52,'Справочники'!$D$5:$E$12,2,FALSE),0),IFERROR(VLOOKUP(F52,'Справочники'!$G$5:$H$12,2,FALSE),0),IFERROR(VLOOKUP(G52,'Справочники'!$J$5:$K$12,2,FALSE),0)))</x:f>
      </x:c>
      <x:c r="P52" s="36"/>
    </x:row>
    <x:row r="53" ht="44" customHeight="1">
      <x:c r="A53" s="39"/>
      <x:c r="B53" s="36"/>
      <x:c r="C53" s="36"/>
      <x:c r="D53" s="42"/>
      <x:c r="E53" s="42"/>
      <x:c r="F53" s="42"/>
      <x:c r="G53" s="42"/>
      <x:c r="H53" s="42"/>
      <x:c r="I53" s="42"/>
      <x:c r="J53" s="36"/>
      <x:c r="K53" s="36"/>
      <x:c r="L53" s="36"/>
      <x:c r="M53" s="36"/>
      <x:c r="N53" s="45"/>
      <x:c r="O53" s="48" t="str">
        <x:f>IF(B53="","",AVERAGE(IFERROR(VLOOKUP(D53,'Справочники'!$A$5:$B$14,2,FALSE),0),IFERROR(VLOOKUP(E53,'Справочники'!$D$5:$E$12,2,FALSE),0),IFERROR(VLOOKUP(F53,'Справочники'!$G$5:$H$12,2,FALSE),0),IFERROR(VLOOKUP(G53,'Справочники'!$J$5:$K$12,2,FALSE),0)))</x:f>
      </x:c>
      <x:c r="P53" s="36"/>
    </x:row>
    <x:row r="54" ht="44" customHeight="1">
      <x:c r="A54" s="39"/>
      <x:c r="B54" s="36"/>
      <x:c r="C54" s="36"/>
      <x:c r="D54" s="42"/>
      <x:c r="E54" s="42"/>
      <x:c r="F54" s="42"/>
      <x:c r="G54" s="42"/>
      <x:c r="H54" s="42"/>
      <x:c r="I54" s="42"/>
      <x:c r="J54" s="36"/>
      <x:c r="K54" s="36"/>
      <x:c r="L54" s="36"/>
      <x:c r="M54" s="36"/>
      <x:c r="N54" s="45"/>
      <x:c r="O54" s="48" t="str">
        <x:f>IF(B54="","",AVERAGE(IFERROR(VLOOKUP(D54,'Справочники'!$A$5:$B$14,2,FALSE),0),IFERROR(VLOOKUP(E54,'Справочники'!$D$5:$E$12,2,FALSE),0),IFERROR(VLOOKUP(F54,'Справочники'!$G$5:$H$12,2,FALSE),0),IFERROR(VLOOKUP(G54,'Справочники'!$J$5:$K$12,2,FALSE),0)))</x:f>
      </x:c>
      <x:c r="P54" s="36"/>
    </x:row>
    <x:row r="55" ht="44" customHeight="1">
      <x:c r="A55" s="39"/>
      <x:c r="B55" s="36"/>
      <x:c r="C55" s="36"/>
      <x:c r="D55" s="42"/>
      <x:c r="E55" s="42"/>
      <x:c r="F55" s="42"/>
      <x:c r="G55" s="42"/>
      <x:c r="H55" s="42"/>
      <x:c r="I55" s="42"/>
      <x:c r="J55" s="36"/>
      <x:c r="K55" s="36"/>
      <x:c r="L55" s="36"/>
      <x:c r="M55" s="36"/>
      <x:c r="N55" s="45"/>
      <x:c r="O55" s="48" t="str">
        <x:f>IF(B55="","",AVERAGE(IFERROR(VLOOKUP(D55,'Справочники'!$A$5:$B$14,2,FALSE),0),IFERROR(VLOOKUP(E55,'Справочники'!$D$5:$E$12,2,FALSE),0),IFERROR(VLOOKUP(F55,'Справочники'!$G$5:$H$12,2,FALSE),0),IFERROR(VLOOKUP(G55,'Справочники'!$J$5:$K$12,2,FALSE),0)))</x:f>
      </x:c>
      <x:c r="P55" s="36"/>
    </x:row>
    <x:row r="56" ht="44" customHeight="1">
      <x:c r="A56" s="39"/>
      <x:c r="B56" s="36"/>
      <x:c r="C56" s="36"/>
      <x:c r="D56" s="42"/>
      <x:c r="E56" s="42"/>
      <x:c r="F56" s="42"/>
      <x:c r="G56" s="42"/>
      <x:c r="H56" s="42"/>
      <x:c r="I56" s="42"/>
      <x:c r="J56" s="36"/>
      <x:c r="K56" s="36"/>
      <x:c r="L56" s="36"/>
      <x:c r="M56" s="36"/>
      <x:c r="N56" s="45"/>
      <x:c r="O56" s="48" t="str">
        <x:f>IF(B56="","",AVERAGE(IFERROR(VLOOKUP(D56,'Справочники'!$A$5:$B$14,2,FALSE),0),IFERROR(VLOOKUP(E56,'Справочники'!$D$5:$E$12,2,FALSE),0),IFERROR(VLOOKUP(F56,'Справочники'!$G$5:$H$12,2,FALSE),0),IFERROR(VLOOKUP(G56,'Справочники'!$J$5:$K$12,2,FALSE),0)))</x:f>
      </x:c>
      <x:c r="P56" s="36"/>
    </x:row>
    <x:row r="57" ht="44" customHeight="1">
      <x:c r="A57" s="39"/>
      <x:c r="B57" s="36"/>
      <x:c r="C57" s="36"/>
      <x:c r="D57" s="42"/>
      <x:c r="E57" s="42"/>
      <x:c r="F57" s="42"/>
      <x:c r="G57" s="42"/>
      <x:c r="H57" s="42"/>
      <x:c r="I57" s="42"/>
      <x:c r="J57" s="36"/>
      <x:c r="K57" s="36"/>
      <x:c r="L57" s="36"/>
      <x:c r="M57" s="36"/>
      <x:c r="N57" s="45"/>
      <x:c r="O57" s="48" t="str">
        <x:f>IF(B57="","",AVERAGE(IFERROR(VLOOKUP(D57,'Справочники'!$A$5:$B$14,2,FALSE),0),IFERROR(VLOOKUP(E57,'Справочники'!$D$5:$E$12,2,FALSE),0),IFERROR(VLOOKUP(F57,'Справочники'!$G$5:$H$12,2,FALSE),0),IFERROR(VLOOKUP(G57,'Справочники'!$J$5:$K$12,2,FALSE),0)))</x:f>
      </x:c>
      <x:c r="P57" s="36"/>
    </x:row>
    <x:row r="58" ht="44" customHeight="1">
      <x:c r="A58" s="39"/>
      <x:c r="B58" s="36"/>
      <x:c r="C58" s="36"/>
      <x:c r="D58" s="42"/>
      <x:c r="E58" s="42"/>
      <x:c r="F58" s="42"/>
      <x:c r="G58" s="42"/>
      <x:c r="H58" s="42"/>
      <x:c r="I58" s="42"/>
      <x:c r="J58" s="36"/>
      <x:c r="K58" s="36"/>
      <x:c r="L58" s="36"/>
      <x:c r="M58" s="36"/>
      <x:c r="N58" s="45"/>
      <x:c r="O58" s="48" t="str">
        <x:f>IF(B58="","",AVERAGE(IFERROR(VLOOKUP(D58,'Справочники'!$A$5:$B$14,2,FALSE),0),IFERROR(VLOOKUP(E58,'Справочники'!$D$5:$E$12,2,FALSE),0),IFERROR(VLOOKUP(F58,'Справочники'!$G$5:$H$12,2,FALSE),0),IFERROR(VLOOKUP(G58,'Справочники'!$J$5:$K$12,2,FALSE),0)))</x:f>
      </x:c>
      <x:c r="P58" s="36"/>
    </x:row>
    <x:row r="59" ht="44" customHeight="1">
      <x:c r="A59" s="39"/>
      <x:c r="B59" s="36"/>
      <x:c r="C59" s="36"/>
      <x:c r="D59" s="42"/>
      <x:c r="E59" s="42"/>
      <x:c r="F59" s="42"/>
      <x:c r="G59" s="42"/>
      <x:c r="H59" s="42"/>
      <x:c r="I59" s="42"/>
      <x:c r="J59" s="36"/>
      <x:c r="K59" s="36"/>
      <x:c r="L59" s="36"/>
      <x:c r="M59" s="36"/>
      <x:c r="N59" s="45"/>
      <x:c r="O59" s="48" t="str">
        <x:f>IF(B59="","",AVERAGE(IFERROR(VLOOKUP(D59,'Справочники'!$A$5:$B$14,2,FALSE),0),IFERROR(VLOOKUP(E59,'Справочники'!$D$5:$E$12,2,FALSE),0),IFERROR(VLOOKUP(F59,'Справочники'!$G$5:$H$12,2,FALSE),0),IFERROR(VLOOKUP(G59,'Справочники'!$J$5:$K$12,2,FALSE),0)))</x:f>
      </x:c>
      <x:c r="P59" s="36"/>
    </x:row>
    <x:row r="60" ht="44" customHeight="1">
      <x:c r="A60" s="39"/>
      <x:c r="B60" s="36"/>
      <x:c r="C60" s="36"/>
      <x:c r="D60" s="42"/>
      <x:c r="E60" s="42"/>
      <x:c r="F60" s="42"/>
      <x:c r="G60" s="42"/>
      <x:c r="H60" s="42"/>
      <x:c r="I60" s="42"/>
      <x:c r="J60" s="36"/>
      <x:c r="K60" s="36"/>
      <x:c r="L60" s="36"/>
      <x:c r="M60" s="36"/>
      <x:c r="N60" s="45"/>
      <x:c r="O60" s="48" t="str">
        <x:f>IF(B60="","",AVERAGE(IFERROR(VLOOKUP(D60,'Справочники'!$A$5:$B$14,2,FALSE),0),IFERROR(VLOOKUP(E60,'Справочники'!$D$5:$E$12,2,FALSE),0),IFERROR(VLOOKUP(F60,'Справочники'!$G$5:$H$12,2,FALSE),0),IFERROR(VLOOKUP(G60,'Справочники'!$J$5:$K$12,2,FALSE),0)))</x:f>
      </x:c>
      <x:c r="P60" s="36"/>
    </x:row>
    <x:row r="61" ht="44" customHeight="1">
      <x:c r="A61" s="39"/>
      <x:c r="B61" s="36"/>
      <x:c r="C61" s="36"/>
      <x:c r="D61" s="42"/>
      <x:c r="E61" s="42"/>
      <x:c r="F61" s="42"/>
      <x:c r="G61" s="42"/>
      <x:c r="H61" s="42"/>
      <x:c r="I61" s="42"/>
      <x:c r="J61" s="36"/>
      <x:c r="K61" s="36"/>
      <x:c r="L61" s="36"/>
      <x:c r="M61" s="36"/>
      <x:c r="N61" s="45"/>
      <x:c r="O61" s="48" t="str">
        <x:f>IF(B61="","",AVERAGE(IFERROR(VLOOKUP(D61,'Справочники'!$A$5:$B$14,2,FALSE),0),IFERROR(VLOOKUP(E61,'Справочники'!$D$5:$E$12,2,FALSE),0),IFERROR(VLOOKUP(F61,'Справочники'!$G$5:$H$12,2,FALSE),0),IFERROR(VLOOKUP(G61,'Справочники'!$J$5:$K$12,2,FALSE),0)))</x:f>
      </x:c>
      <x:c r="P61" s="36"/>
    </x:row>
    <x:row r="62" ht="44" customHeight="1">
      <x:c r="A62" s="39"/>
      <x:c r="B62" s="36"/>
      <x:c r="C62" s="36"/>
      <x:c r="D62" s="42"/>
      <x:c r="E62" s="42"/>
      <x:c r="F62" s="42"/>
      <x:c r="G62" s="42"/>
      <x:c r="H62" s="42"/>
      <x:c r="I62" s="42"/>
      <x:c r="J62" s="36"/>
      <x:c r="K62" s="36"/>
      <x:c r="L62" s="36"/>
      <x:c r="M62" s="36"/>
      <x:c r="N62" s="45"/>
      <x:c r="O62" s="48" t="str">
        <x:f>IF(B62="","",AVERAGE(IFERROR(VLOOKUP(D62,'Справочники'!$A$5:$B$14,2,FALSE),0),IFERROR(VLOOKUP(E62,'Справочники'!$D$5:$E$12,2,FALSE),0),IFERROR(VLOOKUP(F62,'Справочники'!$G$5:$H$12,2,FALSE),0),IFERROR(VLOOKUP(G62,'Справочники'!$J$5:$K$12,2,FALSE),0)))</x:f>
      </x:c>
      <x:c r="P62" s="36"/>
    </x:row>
    <x:row r="63" ht="44" customHeight="1">
      <x:c r="A63" s="39"/>
      <x:c r="B63" s="36"/>
      <x:c r="C63" s="36"/>
      <x:c r="D63" s="42"/>
      <x:c r="E63" s="42"/>
      <x:c r="F63" s="42"/>
      <x:c r="G63" s="42"/>
      <x:c r="H63" s="42"/>
      <x:c r="I63" s="42"/>
      <x:c r="J63" s="36"/>
      <x:c r="K63" s="36"/>
      <x:c r="L63" s="36"/>
      <x:c r="M63" s="36"/>
      <x:c r="N63" s="45"/>
      <x:c r="O63" s="48" t="str">
        <x:f>IF(B63="","",AVERAGE(IFERROR(VLOOKUP(D63,'Справочники'!$A$5:$B$14,2,FALSE),0),IFERROR(VLOOKUP(E63,'Справочники'!$D$5:$E$12,2,FALSE),0),IFERROR(VLOOKUP(F63,'Справочники'!$G$5:$H$12,2,FALSE),0),IFERROR(VLOOKUP(G63,'Справочники'!$J$5:$K$12,2,FALSE),0)))</x:f>
      </x:c>
      <x:c r="P63" s="36"/>
    </x:row>
    <x:row r="64" ht="44" customHeight="1">
      <x:c r="A64" s="39"/>
      <x:c r="B64" s="36"/>
      <x:c r="C64" s="36"/>
      <x:c r="D64" s="42"/>
      <x:c r="E64" s="42"/>
      <x:c r="F64" s="42"/>
      <x:c r="G64" s="42"/>
      <x:c r="H64" s="42"/>
      <x:c r="I64" s="42"/>
      <x:c r="J64" s="36"/>
      <x:c r="K64" s="36"/>
      <x:c r="L64" s="36"/>
      <x:c r="M64" s="36"/>
      <x:c r="N64" s="45"/>
      <x:c r="O64" s="48" t="str">
        <x:f>IF(B64="","",AVERAGE(IFERROR(VLOOKUP(D64,'Справочники'!$A$5:$B$14,2,FALSE),0),IFERROR(VLOOKUP(E64,'Справочники'!$D$5:$E$12,2,FALSE),0),IFERROR(VLOOKUP(F64,'Справочники'!$G$5:$H$12,2,FALSE),0),IFERROR(VLOOKUP(G64,'Справочники'!$J$5:$K$12,2,FALSE),0)))</x:f>
      </x:c>
      <x:c r="P64" s="36"/>
    </x:row>
    <x:row r="65" ht="44" customHeight="1">
      <x:c r="A65" s="39"/>
      <x:c r="B65" s="36"/>
      <x:c r="C65" s="36"/>
      <x:c r="D65" s="42"/>
      <x:c r="E65" s="42"/>
      <x:c r="F65" s="42"/>
      <x:c r="G65" s="42"/>
      <x:c r="H65" s="42"/>
      <x:c r="I65" s="42"/>
      <x:c r="J65" s="36"/>
      <x:c r="K65" s="36"/>
      <x:c r="L65" s="36"/>
      <x:c r="M65" s="36"/>
      <x:c r="N65" s="45"/>
      <x:c r="O65" s="48" t="str">
        <x:f>IF(B65="","",AVERAGE(IFERROR(VLOOKUP(D65,'Справочники'!$A$5:$B$14,2,FALSE),0),IFERROR(VLOOKUP(E65,'Справочники'!$D$5:$E$12,2,FALSE),0),IFERROR(VLOOKUP(F65,'Справочники'!$G$5:$H$12,2,FALSE),0),IFERROR(VLOOKUP(G65,'Справочники'!$J$5:$K$12,2,FALSE),0)))</x:f>
      </x:c>
      <x:c r="P65" s="36"/>
    </x:row>
    <x:row r="66" ht="44" customHeight="1">
      <x:c r="A66" s="39"/>
      <x:c r="B66" s="36"/>
      <x:c r="C66" s="36"/>
      <x:c r="D66" s="42"/>
      <x:c r="E66" s="42"/>
      <x:c r="F66" s="42"/>
      <x:c r="G66" s="42"/>
      <x:c r="H66" s="42"/>
      <x:c r="I66" s="42"/>
      <x:c r="J66" s="36"/>
      <x:c r="K66" s="36"/>
      <x:c r="L66" s="36"/>
      <x:c r="M66" s="36"/>
      <x:c r="N66" s="45"/>
      <x:c r="O66" s="48" t="str">
        <x:f>IF(B66="","",AVERAGE(IFERROR(VLOOKUP(D66,'Справочники'!$A$5:$B$14,2,FALSE),0),IFERROR(VLOOKUP(E66,'Справочники'!$D$5:$E$12,2,FALSE),0),IFERROR(VLOOKUP(F66,'Справочники'!$G$5:$H$12,2,FALSE),0),IFERROR(VLOOKUP(G66,'Справочники'!$J$5:$K$12,2,FALSE),0)))</x:f>
      </x:c>
      <x:c r="P66" s="36"/>
    </x:row>
    <x:row r="67" ht="44" customHeight="1">
      <x:c r="A67" s="39"/>
      <x:c r="B67" s="36"/>
      <x:c r="C67" s="36"/>
      <x:c r="D67" s="42"/>
      <x:c r="E67" s="42"/>
      <x:c r="F67" s="42"/>
      <x:c r="G67" s="42"/>
      <x:c r="H67" s="42"/>
      <x:c r="I67" s="42"/>
      <x:c r="J67" s="36"/>
      <x:c r="K67" s="36"/>
      <x:c r="L67" s="36"/>
      <x:c r="M67" s="36"/>
      <x:c r="N67" s="45"/>
      <x:c r="O67" s="48" t="str">
        <x:f>IF(B67="","",AVERAGE(IFERROR(VLOOKUP(D67,'Справочники'!$A$5:$B$14,2,FALSE),0),IFERROR(VLOOKUP(E67,'Справочники'!$D$5:$E$12,2,FALSE),0),IFERROR(VLOOKUP(F67,'Справочники'!$G$5:$H$12,2,FALSE),0),IFERROR(VLOOKUP(G67,'Справочники'!$J$5:$K$12,2,FALSE),0)))</x:f>
      </x:c>
      <x:c r="P67" s="36"/>
    </x:row>
    <x:row r="68" ht="44" customHeight="1">
      <x:c r="A68" s="39"/>
      <x:c r="B68" s="36"/>
      <x:c r="C68" s="36"/>
      <x:c r="D68" s="42"/>
      <x:c r="E68" s="42"/>
      <x:c r="F68" s="42"/>
      <x:c r="G68" s="42"/>
      <x:c r="H68" s="42"/>
      <x:c r="I68" s="42"/>
      <x:c r="J68" s="36"/>
      <x:c r="K68" s="36"/>
      <x:c r="L68" s="36"/>
      <x:c r="M68" s="36"/>
      <x:c r="N68" s="45"/>
      <x:c r="O68" s="48" t="str">
        <x:f>IF(B68="","",AVERAGE(IFERROR(VLOOKUP(D68,'Справочники'!$A$5:$B$14,2,FALSE),0),IFERROR(VLOOKUP(E68,'Справочники'!$D$5:$E$12,2,FALSE),0),IFERROR(VLOOKUP(F68,'Справочники'!$G$5:$H$12,2,FALSE),0),IFERROR(VLOOKUP(G68,'Справочники'!$J$5:$K$12,2,FALSE),0)))</x:f>
      </x:c>
      <x:c r="P68" s="36"/>
    </x:row>
    <x:row r="69" ht="44" customHeight="1">
      <x:c r="A69" s="39"/>
      <x:c r="B69" s="36"/>
      <x:c r="C69" s="36"/>
      <x:c r="D69" s="42"/>
      <x:c r="E69" s="42"/>
      <x:c r="F69" s="42"/>
      <x:c r="G69" s="42"/>
      <x:c r="H69" s="42"/>
      <x:c r="I69" s="42"/>
      <x:c r="J69" s="36"/>
      <x:c r="K69" s="36"/>
      <x:c r="L69" s="36"/>
      <x:c r="M69" s="36"/>
      <x:c r="N69" s="45"/>
      <x:c r="O69" s="48" t="str">
        <x:f>IF(B69="","",AVERAGE(IFERROR(VLOOKUP(D69,'Справочники'!$A$5:$B$14,2,FALSE),0),IFERROR(VLOOKUP(E69,'Справочники'!$D$5:$E$12,2,FALSE),0),IFERROR(VLOOKUP(F69,'Справочники'!$G$5:$H$12,2,FALSE),0),IFERROR(VLOOKUP(G69,'Справочники'!$J$5:$K$12,2,FALSE),0)))</x:f>
      </x:c>
      <x:c r="P69" s="36"/>
    </x:row>
    <x:row r="70" ht="44" customHeight="1">
      <x:c r="A70" s="39"/>
      <x:c r="B70" s="36"/>
      <x:c r="C70" s="36"/>
      <x:c r="D70" s="42"/>
      <x:c r="E70" s="42"/>
      <x:c r="F70" s="42"/>
      <x:c r="G70" s="42"/>
      <x:c r="H70" s="42"/>
      <x:c r="I70" s="42"/>
      <x:c r="J70" s="36"/>
      <x:c r="K70" s="36"/>
      <x:c r="L70" s="36"/>
      <x:c r="M70" s="36"/>
      <x:c r="N70" s="45"/>
      <x:c r="O70" s="48" t="str">
        <x:f>IF(B70="","",AVERAGE(IFERROR(VLOOKUP(D70,'Справочники'!$A$5:$B$14,2,FALSE),0),IFERROR(VLOOKUP(E70,'Справочники'!$D$5:$E$12,2,FALSE),0),IFERROR(VLOOKUP(F70,'Справочники'!$G$5:$H$12,2,FALSE),0),IFERROR(VLOOKUP(G70,'Справочники'!$J$5:$K$12,2,FALSE),0)))</x:f>
      </x:c>
      <x:c r="P70" s="36"/>
    </x:row>
    <x:row r="71" ht="44" customHeight="1">
      <x:c r="A71" s="39"/>
      <x:c r="B71" s="36"/>
      <x:c r="C71" s="36"/>
      <x:c r="D71" s="42"/>
      <x:c r="E71" s="42"/>
      <x:c r="F71" s="42"/>
      <x:c r="G71" s="42"/>
      <x:c r="H71" s="42"/>
      <x:c r="I71" s="42"/>
      <x:c r="J71" s="36"/>
      <x:c r="K71" s="36"/>
      <x:c r="L71" s="36"/>
      <x:c r="M71" s="36"/>
      <x:c r="N71" s="45"/>
      <x:c r="O71" s="48" t="str">
        <x:f>IF(B71="","",AVERAGE(IFERROR(VLOOKUP(D71,'Справочники'!$A$5:$B$14,2,FALSE),0),IFERROR(VLOOKUP(E71,'Справочники'!$D$5:$E$12,2,FALSE),0),IFERROR(VLOOKUP(F71,'Справочники'!$G$5:$H$12,2,FALSE),0),IFERROR(VLOOKUP(G71,'Справочники'!$J$5:$K$12,2,FALSE),0)))</x:f>
      </x:c>
      <x:c r="P71" s="36"/>
    </x:row>
    <x:row r="72" ht="44" customHeight="1">
      <x:c r="A72" s="39"/>
      <x:c r="B72" s="36"/>
      <x:c r="C72" s="36"/>
      <x:c r="D72" s="42"/>
      <x:c r="E72" s="42"/>
      <x:c r="F72" s="42"/>
      <x:c r="G72" s="42"/>
      <x:c r="H72" s="42"/>
      <x:c r="I72" s="42"/>
      <x:c r="J72" s="36"/>
      <x:c r="K72" s="36"/>
      <x:c r="L72" s="36"/>
      <x:c r="M72" s="36"/>
      <x:c r="N72" s="45"/>
      <x:c r="O72" s="48" t="str">
        <x:f>IF(B72="","",AVERAGE(IFERROR(VLOOKUP(D72,'Справочники'!$A$5:$B$14,2,FALSE),0),IFERROR(VLOOKUP(E72,'Справочники'!$D$5:$E$12,2,FALSE),0),IFERROR(VLOOKUP(F72,'Справочники'!$G$5:$H$12,2,FALSE),0),IFERROR(VLOOKUP(G72,'Справочники'!$J$5:$K$12,2,FALSE),0)))</x:f>
      </x:c>
      <x:c r="P72" s="36"/>
    </x:row>
    <x:row r="73" ht="44" customHeight="1">
      <x:c r="A73" s="39"/>
      <x:c r="B73" s="36"/>
      <x:c r="C73" s="36"/>
      <x:c r="D73" s="42"/>
      <x:c r="E73" s="42"/>
      <x:c r="F73" s="42"/>
      <x:c r="G73" s="42"/>
      <x:c r="H73" s="42"/>
      <x:c r="I73" s="42"/>
      <x:c r="J73" s="36"/>
      <x:c r="K73" s="36"/>
      <x:c r="L73" s="36"/>
      <x:c r="M73" s="36"/>
      <x:c r="N73" s="45"/>
      <x:c r="O73" s="48" t="str">
        <x:f>IF(B73="","",AVERAGE(IFERROR(VLOOKUP(D73,'Справочники'!$A$5:$B$14,2,FALSE),0),IFERROR(VLOOKUP(E73,'Справочники'!$D$5:$E$12,2,FALSE),0),IFERROR(VLOOKUP(F73,'Справочники'!$G$5:$H$12,2,FALSE),0),IFERROR(VLOOKUP(G73,'Справочники'!$J$5:$K$12,2,FALSE),0)))</x:f>
      </x:c>
      <x:c r="P73" s="36"/>
    </x:row>
    <x:row r="74" ht="44" customHeight="1">
      <x:c r="A74" s="39"/>
      <x:c r="B74" s="36"/>
      <x:c r="C74" s="36"/>
      <x:c r="D74" s="42"/>
      <x:c r="E74" s="42"/>
      <x:c r="F74" s="42"/>
      <x:c r="G74" s="42"/>
      <x:c r="H74" s="42"/>
      <x:c r="I74" s="42"/>
      <x:c r="J74" s="36"/>
      <x:c r="K74" s="36"/>
      <x:c r="L74" s="36"/>
      <x:c r="M74" s="36"/>
      <x:c r="N74" s="45"/>
      <x:c r="O74" s="48" t="str">
        <x:f>IF(B74="","",AVERAGE(IFERROR(VLOOKUP(D74,'Справочники'!$A$5:$B$14,2,FALSE),0),IFERROR(VLOOKUP(E74,'Справочники'!$D$5:$E$12,2,FALSE),0),IFERROR(VLOOKUP(F74,'Справочники'!$G$5:$H$12,2,FALSE),0),IFERROR(VLOOKUP(G74,'Справочники'!$J$5:$K$12,2,FALSE),0)))</x:f>
      </x:c>
      <x:c r="P74" s="36"/>
    </x:row>
    <x:row r="75" ht="44" customHeight="1">
      <x:c r="A75" s="40"/>
      <x:c r="B75" s="37"/>
      <x:c r="C75" s="37"/>
      <x:c r="D75" s="43"/>
      <x:c r="E75" s="43"/>
      <x:c r="F75" s="43"/>
      <x:c r="G75" s="43"/>
      <x:c r="H75" s="43"/>
      <x:c r="I75" s="43"/>
      <x:c r="J75" s="37"/>
      <x:c r="K75" s="37"/>
      <x:c r="L75" s="37"/>
      <x:c r="M75" s="37"/>
      <x:c r="N75" s="46"/>
      <x:c r="O75" s="49" t="str">
        <x:f>IF(B75="","",AVERAGE(IFERROR(VLOOKUP(D75,'Справочники'!$A$5:$B$14,2,FALSE),0),IFERROR(VLOOKUP(E75,'Справочники'!$D$5:$E$12,2,FALSE),0),IFERROR(VLOOKUP(F75,'Справочники'!$G$5:$H$12,2,FALSE),0),IFERROR(VLOOKUP(G75,'Справочники'!$J$5:$K$12,2,FALSE),0)))</x:f>
      </x:c>
      <x:c r="P75" s="37"/>
    </x:row>
  </x:sheetData>
  <x:mergeCells>
    <x:mergeCell ref="A1:P1"/>
    <x:mergeCell ref="A2:P2"/>
    <x:mergeCell ref="A3:B3"/>
    <x:mergeCell ref="C3:D3"/>
    <x:mergeCell ref="E3:F3"/>
    <x:mergeCell ref="G3:H3"/>
    <x:mergeCell ref="I3:J3"/>
    <x:mergeCell ref="K3:L3"/>
    <x:mergeCell ref="M3:N3"/>
    <x:mergeCell ref="O3:P3"/>
  </x:mergeCells>
  <x:conditionalFormatting sqref="D6:D75">
    <x:cfRule type="containsText" dxfId="144" priority="1" operator="containsText" text="Готово local/mock"/>
    <x:cfRule type="expression" dxfId="145" priority="2">
      <x:formula>$D6="Готово"</x:formula>
    </x:cfRule>
    <x:cfRule type="containsText" dxfId="146" priority="3" operator="containsText" text="Review"/>
    <x:cfRule type="containsText" dxfId="147" priority="4" operator="containsText" text="Draft"/>
    <x:cfRule type="containsText" dxfId="148" priority="5" operator="containsText" text="Отсутствует"/>
    <x:cfRule type="containsText" dxfId="149" priority="6" operator="containsText" text="В работе"/>
  </x:conditionalFormatting>
  <x:conditionalFormatting sqref="E6:E75">
    <x:cfRule type="containsText" dxfId="150" priority="7" operator="containsText" text="Accepted"/>
    <x:cfRule type="containsText" dxfId="151" priority="8" operator="containsText" text="Canonical"/>
    <x:cfRule type="containsText" dxfId="152" priority="9" operator="containsText" text="Approved"/>
    <x:cfRule type="containsText" dxfId="153" priority="10" operator="containsText" text="Review"/>
    <x:cfRule type="containsText" dxfId="154" priority="11" operator="containsText" text="Draft"/>
    <x:cfRule type="containsText" dxfId="155" priority="12" operator="containsText" text="Отсутствует"/>
  </x:conditionalFormatting>
  <x:conditionalFormatting sqref="F6:F75">
    <x:cfRule type="expression" dxfId="156" priority="13">
      <x:formula>$F6="Production"</x:formula>
    </x:cfRule>
    <x:cfRule type="expression" dxfId="157" priority="14">
      <x:formula>$F6="Local/mock"</x:formula>
    </x:cfRule>
    <x:cfRule type="expression" dxfId="158" priority="15">
      <x:formula>$F6="Pure domain"</x:formula>
    </x:cfRule>
    <x:cfRule type="expression" dxfId="159" priority="16">
      <x:formula>$F6="Отсутствует"</x:formula>
    </x:cfRule>
    <x:cfRule type="expression" dxfId="160" priority="17">
      <x:formula>$F6="Gated"</x:formula>
    </x:cfRule>
  </x:conditionalFormatting>
  <x:conditionalFormatting sqref="G6:G75">
    <x:cfRule type="containsText" dxfId="161" priority="18" operator="containsText" text="Текущие зелёные"/>
    <x:cfRule type="containsText" dxfId="162" priority="19" operator="containsText" text="Исторические зелёные"/>
    <x:cfRule type="containsText" dxfId="163" priority="20" operator="containsText" text="Device pending"/>
    <x:cfRule type="containsText" dxfId="164" priority="21" operator="containsText" text="Не запускались"/>
  </x:conditionalFormatting>
  <x:conditionalFormatting sqref="I6:I75">
    <x:cfRule type="containsText" dxfId="165" priority="22" operator="containsText" text="P0"/>
    <x:cfRule type="containsText" dxfId="166" priority="23" operator="containsText" text="P1"/>
    <x:cfRule type="containsText" dxfId="167" priority="24" operator="containsText" text="P2"/>
  </x:conditionalFormatting>
  <x:conditionalFormatting sqref="O6:O75">
    <x:cfRule type="dataBar" priority="25">
      <x:dataBar>
        <x:cfvo type="min"/>
        <x:cfvo type="max"/>
        <x:color rgb="FF2F6B5C"/>
      </x:dataBar>
      <x:extLst>
        <x:ext xmlns:x14="http://schemas.microsoft.com/office/spreadsheetml/2009/9/main" uri="{B025F937-C7B1-47D3-B67F-A62EFF666E3E}">
          <x14:id>{5130055D-6239-A12A-ADC4-B71B5E13ECCD}</x14:id>
        </x:ext>
      </x:extLst>
    </x:cfRule>
  </x:conditionalFormatting>
  <x:dataValidations count="5">
    <x:dataValidation type="list" sqref="D6:D75">
      <x:formula1>'Справочники'!$A$5:$A$14</x:formula1>
    </x:dataValidation>
    <x:dataValidation type="list" sqref="E6:E75">
      <x:formula1>'Справочники'!$D$5:$D$12</x:formula1>
    </x:dataValidation>
    <x:dataValidation type="list" sqref="F6:F75">
      <x:formula1>'Справочники'!$G$5:$G$12</x:formula1>
    </x:dataValidation>
    <x:dataValidation type="list" sqref="G6:G75">
      <x:formula1>'Справочники'!$J$5:$J$12</x:formula1>
    </x:dataValidation>
    <x:dataValidation type="list" sqref="I6:I75">
      <x:formula1>'Справочники'!$M$5:$M$9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8be1ab0b0684221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5" id="{5130055D-6239-A12A-ADC4-B71B5E13ECCD}">
            <x14:dataBar gradient="1">
              <x14:cfvo type="min"/>
              <x14:cfvo type="max"/>
              <x14:fillColor rgb="FF2F6B5C"/>
            </x14:dataBar>
          </x14:cfRule>
          <xm:sqref>O6:O75</xm:sqref>
        </x14:conditionalFormatting>
      </x14:conditionalFormattings>
    </x:ext>
  </x:extLst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1" hidden="0" customWidth="1"/>
    <x:col min="3" max="3" width="20" hidden="0" customWidth="1"/>
    <x:col min="4" max="4" width="18" hidden="0" customWidth="1"/>
    <x:col min="5" max="5" width="20" hidden="0" customWidth="1"/>
    <x:col min="6" max="6" width="16" hidden="0" customWidth="1"/>
    <x:col min="7" max="7" width="20" hidden="0" customWidth="1"/>
    <x:col min="8" max="8" width="25" hidden="0" customWidth="1"/>
    <x:col min="9" max="9" width="11" hidden="0" customWidth="1"/>
    <x:col min="10" max="10" width="40" hidden="0" customWidth="1"/>
    <x:col min="11" max="11" width="28" hidden="0" customWidth="1"/>
    <x:col min="12" max="12" width="20" hidden="0" customWidth="1"/>
    <x:col min="13" max="13" width="48" hidden="0" customWidth="1"/>
    <x:col min="14" max="14" width="14" hidden="0" customWidth="1"/>
    <x:col min="15" max="15" width="13" hidden="0" customWidth="1"/>
    <x:col min="16" max="16" width="34" hidden="0" customWidth="1"/>
  </x:cols>
  <x:sheetData>
    <x:row r="1" ht="38" customHeight="1">
      <x:c r="A1" s="3" t="str">
        <x:v>BACKEND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2" customHeight="1">
      <x:c r="A2" s="7" t="str">
        <x:v>Delivery layer · Physical runtime, BCK-01–22 registry, backend waves R0–R12 and gates G0–G7.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3">
      <x:c r="A3" s="12" t="e">
        <x:f>HYPERLINK("#'Паук'!A1","← Вернуться к пауку")</x:f>
        <x:v>HYPERLINK is not implemented. linkLocation=#'Паук'!A1, friendlyName=← Вернуться к пауку</x:v>
      </x:c>
      <x:c r="B3" s="12"/>
      <x:c r="C3" t="str">
        <x:v>Прогресс</x:v>
      </x:c>
      <x:c r="E3" s="15" t="n">
        <x:f>IFERROR(SUM(O6:O75)/COUNTA(B6:B75),0)</x:f>
        <x:v>0.31053571428571414</x:v>
      </x:c>
      <x:c r="F3" s="15"/>
      <x:c r="G3" t="str">
        <x:v>Открытые P0/P1</x:v>
      </x:c>
      <x:c r="I3" s="18" t="n">
        <x:f>COUNTIFS(I6:I75,"P0",O6:O75,"&lt;1")+COUNTIFS(I6:I75,"P1",O6:O75,"&lt;1")</x:f>
        <x:v>61</x:v>
      </x:c>
      <x:c r="J3" s="18"/>
      <x:c r="K3" t="str">
        <x:v>Runtime отсутствует</x:v>
      </x:c>
      <x:c r="M3" s="21" t="n">
        <x:f>COUNTIF(F6:F75,"Отсутствует")</x:f>
        <x:v>36</x:v>
      </x:c>
      <x:c r="N3" s="21"/>
      <x:c r="O3" s="24" t="e">
        <x:f>HYPERLINK("#'Реестр файлов'!A1","Реестр файлов →")</x:f>
        <x:v>HYPERLINK is not implemented. linkLocation=#'Реестр файлов'!A1, friendlyName=Реестр файлов →</x:v>
      </x:c>
      <x:c r="P3" s="24"/>
    </x:row>
    <x:row r="5">
      <x:c r="A5" s="27" t="str">
        <x:v>ID</x:v>
      </x:c>
      <x:c r="B5" s="27" t="str">
        <x:v>Подсистема / deliverable</x:v>
      </x:c>
      <x:c r="C5" s="27" t="str">
        <x:v>Тип</x:v>
      </x:c>
      <x:c r="D5" s="27" t="str">
        <x:v>Артефакт</x:v>
      </x:c>
      <x:c r="E5" s="27" t="str">
        <x:v>Документация</x:v>
      </x:c>
      <x:c r="F5" s="27" t="str">
        <x:v>Runtime</x:v>
      </x:c>
      <x:c r="G5" s="27" t="str">
        <x:v>Проверки</x:v>
      </x:c>
      <x:c r="H5" s="27" t="str">
        <x:v>Gate / authority</x:v>
      </x:c>
      <x:c r="I5" s="27" t="str">
        <x:v>Приоритет</x:v>
      </x:c>
      <x:c r="J5" s="27" t="str">
        <x:v>Следующее действие</x:v>
      </x:c>
      <x:c r="K5" s="27" t="str">
        <x:v>Блокер</x:v>
      </x:c>
      <x:c r="L5" s="27" t="str">
        <x:v>Owner</x:v>
      </x:c>
      <x:c r="M5" s="27" t="str">
        <x:v>Источник / путь</x:v>
      </x:c>
      <x:c r="N5" s="27" t="str">
        <x:v>Обновлено</x:v>
      </x:c>
      <x:c r="O5" s="27" t="str">
        <x:v>Готовность</x:v>
      </x:c>
      <x:c r="P5" s="27" t="str">
        <x:v>Комментарий</x:v>
      </x:c>
    </x:row>
    <x:row r="6" ht="44" customHeight="1">
      <x:c r="A6" s="38" t="str">
        <x:v>BE-PHY-01</x:v>
      </x:c>
      <x:c r="B6" s="35" t="str">
        <x:v>apps/backend</x:v>
      </x:c>
      <x:c r="C6" s="35" t="str">
        <x:v>Physical runtime</x:v>
      </x:c>
      <x:c r="D6" s="41" t="str">
        <x:v>Отсутствует</x:v>
      </x:c>
      <x:c r="E6" s="41" t="str">
        <x:v>Approved</x:v>
      </x:c>
      <x:c r="F6" s="41" t="str">
        <x:v>Отсутствует</x:v>
      </x:c>
      <x:c r="G6" s="41" t="str">
        <x:v>Не запускались</x:v>
      </x:c>
      <x:c r="H6" s="41" t="str">
        <x:v>Post-stabilization authorization</x:v>
      </x:c>
      <x:c r="I6" s="41" t="str">
        <x:v>P0</x:v>
      </x:c>
      <x:c r="J6" s="35" t="str">
        <x:v>Не создавать до Approved executable slice</x:v>
      </x:c>
      <x:c r="K6" s="35" t="str">
        <x:v>Stabilization + G1</x:v>
      </x:c>
      <x:c r="L6" s="35" t="str">
        <x:v>Platform</x:v>
      </x:c>
      <x:c r="M6" s="35" t="str">
        <x:v>apps/backend</x:v>
      </x:c>
      <x:c r="N6" s="44"/>
      <x:c r="O6" s="47" t="n">
        <x:f>IF(B6="","",AVERAGE(IFERROR(VLOOKUP(D6,'Справочники'!$A$5:$B$14,2,FALSE),0),IFERROR(VLOOKUP(E6,'Справочники'!$D$5:$E$12,2,FALSE),0),IFERROR(VLOOKUP(F6,'Справочники'!$G$5:$H$12,2,FALSE),0),IFERROR(VLOOKUP(G6,'Справочники'!$J$5:$K$12,2,FALSE),0)))</x:f>
        <x:v>0.225</x:v>
      </x:c>
      <x:c r="P6" s="35" t="str"/>
    </x:row>
    <x:row r="7" ht="44" customHeight="1">
      <x:c r="A7" s="39" t="str">
        <x:v>BE-PHY-02</x:v>
      </x:c>
      <x:c r="B7" s="36" t="str">
        <x:v>Firebase root config</x:v>
      </x:c>
      <x:c r="C7" s="36" t="str">
        <x:v>Physical runtime</x:v>
      </x:c>
      <x:c r="D7" s="42" t="str">
        <x:v>Отсутствует</x:v>
      </x:c>
      <x:c r="E7" s="42" t="str">
        <x:v>Approved</x:v>
      </x:c>
      <x:c r="F7" s="42" t="str">
        <x:v>Отсутствует</x:v>
      </x:c>
      <x:c r="G7" s="42" t="str">
        <x:v>Не запускались</x:v>
      </x:c>
      <x:c r="H7" s="42" t="str">
        <x:v>OD-07 / R1</x:v>
      </x:c>
      <x:c r="I7" s="42" t="str">
        <x:v>P0</x:v>
      </x:c>
      <x:c r="J7" s="36" t="str">
        <x:v>Выбрать проекты, регионы и edition</x:v>
      </x:c>
      <x:c r="K7" s="36" t="str">
        <x:v>OD-07 open</x:v>
      </x:c>
      <x:c r="L7" s="36" t="str">
        <x:v>Platform</x:v>
      </x:c>
      <x:c r="M7" s="36" t="str">
        <x:v>firebase.json / .firebaserc</x:v>
      </x:c>
      <x:c r="N7" s="45"/>
      <x:c r="O7" s="48" t="n">
        <x:f>IF(B7="","",AVERAGE(IFERROR(VLOOKUP(D7,'Справочники'!$A$5:$B$14,2,FALSE),0),IFERROR(VLOOKUP(E7,'Справочники'!$D$5:$E$12,2,FALSE),0),IFERROR(VLOOKUP(F7,'Справочники'!$G$5:$H$12,2,FALSE),0),IFERROR(VLOOKUP(G7,'Справочники'!$J$5:$K$12,2,FALSE),0)))</x:f>
        <x:v>0.225</x:v>
      </x:c>
      <x:c r="P7" s="36" t="str"/>
    </x:row>
    <x:row r="8" ht="44" customHeight="1">
      <x:c r="A8" s="39" t="str">
        <x:v>BE-PHY-03</x:v>
      </x:c>
      <x:c r="B8" s="36" t="str">
        <x:v>Cloud Functions / Rules / IAM</x:v>
      </x:c>
      <x:c r="C8" s="36" t="str">
        <x:v>Physical runtime</x:v>
      </x:c>
      <x:c r="D8" s="42" t="str">
        <x:v>Отсутствует</x:v>
      </x:c>
      <x:c r="E8" s="42" t="str">
        <x:v>Draft</x:v>
      </x:c>
      <x:c r="F8" s="42" t="str">
        <x:v>Отсутствует</x:v>
      </x:c>
      <x:c r="G8" s="42" t="str">
        <x:v>Не запускались</x:v>
      </x:c>
      <x:c r="H8" s="42" t="str">
        <x:v>G1–G4</x:v>
      </x:c>
      <x:c r="I8" s="42" t="str">
        <x:v>P0</x:v>
      </x:c>
      <x:c r="J8" s="36" t="str">
        <x:v>Реализовывать только после design gates</x:v>
      </x:c>
      <x:c r="K8" s="36" t="str">
        <x:v>BCK-04/BCK-05</x:v>
      </x:c>
      <x:c r="L8" s="36" t="str">
        <x:v>Platform/Security</x:v>
      </x:c>
      <x:c r="M8" s="36" t="str">
        <x:v>docs/product/RECHARGE_BACKEND_DELIVERY_MAP.md</x:v>
      </x:c>
      <x:c r="N8" s="45"/>
      <x:c r="O8" s="48" t="n">
        <x:f>IF(B8="","",AVERAGE(IFERROR(VLOOKUP(D8,'Справочники'!$A$5:$B$14,2,FALSE),0),IFERROR(VLOOKUP(E8,'Справочники'!$D$5:$E$12,2,FALSE),0),IFERROR(VLOOKUP(F8,'Справочники'!$G$5:$H$12,2,FALSE),0),IFERROR(VLOOKUP(G8,'Справочники'!$J$5:$K$12,2,FALSE),0)))</x:f>
        <x:v>0.0625</x:v>
      </x:c>
      <x:c r="P8" s="36" t="str"/>
    </x:row>
    <x:row r="9" ht="44" customHeight="1">
      <x:c r="A9" s="39" t="str">
        <x:v>BCK-01</x:v>
      </x:c>
      <x:c r="B9" s="36" t="str">
        <x:v>Master architecture</x:v>
      </x:c>
      <x:c r="C9" s="36" t="str">
        <x:v>Backend spec</x:v>
      </x:c>
      <x:c r="D9" s="42" t="str">
        <x:v>Draft</x:v>
      </x:c>
      <x:c r="E9" s="42" t="str">
        <x:v>Draft</x:v>
      </x:c>
      <x:c r="F9" s="42" t="str">
        <x:v>Не требуется</x:v>
      </x:c>
      <x:c r="G9" s="42" t="str">
        <x:v>Не запускались</x:v>
      </x:c>
      <x:c r="H9" s="42" t="str">
        <x:v>Architecture review</x:v>
      </x:c>
      <x:c r="I9" s="42" t="str">
        <x:v>P0</x:v>
      </x:c>
      <x:c r="J9" s="36" t="str">
        <x:v>Перевести v0.3 в Review</x:v>
      </x:c>
      <x:c r="K9" s="36" t="str">
        <x:v>Owner review</x:v>
      </x:c>
      <x:c r="L9" s="36" t="str">
        <x:v>Platform Architecture</x:v>
      </x:c>
      <x:c r="M9" s="36" t="str">
        <x:v>docs/product/RECHARGE_BACKEND_MASTER_SPEC.md</x:v>
      </x:c>
      <x:c r="N9" s="45" t="n">
        <x:v>46250</x:v>
      </x:c>
      <x:c r="O9" s="48" t="n">
        <x:f>IF(B9="","",AVERAGE(IFERROR(VLOOKUP(D9,'Справочники'!$A$5:$B$14,2,FALSE),0),IFERROR(VLOOKUP(E9,'Справочники'!$D$5:$E$12,2,FALSE),0),IFERROR(VLOOKUP(F9,'Справочники'!$G$5:$H$12,2,FALSE),0),IFERROR(VLOOKUP(G9,'Справочники'!$J$5:$K$12,2,FALSE),0)))</x:f>
        <x:v>0.3875</x:v>
      </x:c>
      <x:c r="P9" s="36" t="str"/>
    </x:row>
    <x:row r="10" ht="44" customHeight="1">
      <x:c r="A10" s="39" t="str">
        <x:v>BCK-02</x:v>
      </x:c>
      <x:c r="B10" s="36" t="str">
        <x:v>Delivery map</x:v>
      </x:c>
      <x:c r="C10" s="36" t="str">
        <x:v>Coordination baseline</x:v>
      </x:c>
      <x:c r="D10" s="42" t="str">
        <x:v>Готово</x:v>
      </x:c>
      <x:c r="E10" s="42" t="str">
        <x:v>Approved</x:v>
      </x:c>
      <x:c r="F10" s="42" t="str">
        <x:v>Не требуется</x:v>
      </x:c>
      <x:c r="G10" s="42" t="str">
        <x:v>Текущие зелёные</x:v>
      </x:c>
      <x:c r="H10" s="42" t="str">
        <x:v>G0 Passed</x:v>
      </x:c>
      <x:c r="I10" s="42" t="str">
        <x:v>P0</x:v>
      </x:c>
      <x:c r="J10" s="36" t="str">
        <x:v>Поддерживать registry/status consistency</x:v>
      </x:c>
      <x:c r="K10" s="36" t="str"/>
      <x:c r="L10" s="36" t="str">
        <x:v>Architecture owner</x:v>
      </x:c>
      <x:c r="M10" s="36" t="str">
        <x:v>docs/product/RECHARGE_BACKEND_DELIVERY_MAP.md</x:v>
      </x:c>
      <x:c r="N10" s="45" t="n">
        <x:v>46250</x:v>
      </x:c>
      <x:c r="O10" s="48" t="n">
        <x:f>IF(B10="","",AVERAGE(IFERROR(VLOOKUP(D10,'Справочники'!$A$5:$B$14,2,FALSE),0),IFERROR(VLOOKUP(E10,'Справочники'!$D$5:$E$12,2,FALSE),0),IFERROR(VLOOKUP(F10,'Справочники'!$G$5:$H$12,2,FALSE),0),IFERROR(VLOOKUP(G10,'Справочники'!$J$5:$K$12,2,FALSE),0)))</x:f>
        <x:v>0.975</x:v>
      </x:c>
      <x:c r="P10" s="36" t="str">
        <x:v>22 BCK specs, 6 runbooks, 11 OD, 13 risks</x:v>
      </x:c>
    </x:row>
    <x:row r="11" ht="44" customHeight="1">
      <x:c r="A11" s="39" t="str">
        <x:v>BCK-03</x:v>
      </x:c>
      <x:c r="B11" s="36" t="str">
        <x:v>API Contract Standard</x:v>
      </x:c>
      <x:c r="C11" s="36" t="str">
        <x:v>Backend spec</x:v>
      </x:c>
      <x:c r="D11" s="42" t="str">
        <x:v>Draft</x:v>
      </x:c>
      <x:c r="E11" s="42" t="str">
        <x:v>Draft</x:v>
      </x:c>
      <x:c r="F11" s="42" t="str">
        <x:v>Отсутствует</x:v>
      </x:c>
      <x:c r="G11" s="42" t="str">
        <x:v>Не запускались</x:v>
      </x:c>
      <x:c r="H11" s="42" t="str">
        <x:v>Review required</x:v>
      </x:c>
      <x:c r="I11" s="42" t="str">
        <x:v>P0</x:v>
      </x:c>
      <x:c r="J11" s="36" t="str">
        <x:v>Закрыть 12 review-вопросов и DoR</x:v>
      </x:c>
      <x:c r="K11" s="36" t="str">
        <x:v>BCK-01 Review</x:v>
      </x:c>
      <x:c r="L11" s="36" t="str">
        <x:v>API Platform</x:v>
      </x:c>
      <x:c r="M11" s="36" t="str">
        <x:v>docs/product/BACKEND_API_CONTRACT_STANDARD.md</x:v>
      </x:c>
      <x:c r="N11" s="45" t="n">
        <x:v>46250</x:v>
      </x:c>
      <x:c r="O11" s="48" t="n">
        <x:f>IF(B11="","",AVERAGE(IFERROR(VLOOKUP(D11,'Справочники'!$A$5:$B$14,2,FALSE),0),IFERROR(VLOOKUP(E11,'Справочники'!$D$5:$E$12,2,FALSE),0),IFERROR(VLOOKUP(F11,'Справочники'!$G$5:$H$12,2,FALSE),0),IFERROR(VLOOKUP(G11,'Справочники'!$J$5:$K$12,2,FALSE),0)))</x:f>
        <x:v>0.1375</x:v>
      </x:c>
      <x:c r="P11" s="36" t="str"/>
    </x:row>
    <x:row r="12" ht="44" customHeight="1">
      <x:c r="A12" s="39" t="str">
        <x:v>BCK-04</x:v>
      </x:c>
      <x:c r="B12" s="36" t="str">
        <x:v>Security &amp; Privacy</x:v>
      </x:c>
      <x:c r="C12" s="36" t="str">
        <x:v>Backend spec</x:v>
      </x:c>
      <x:c r="D12" s="42" t="str">
        <x:v>Draft</x:v>
      </x:c>
      <x:c r="E12" s="42" t="str">
        <x:v>Draft</x:v>
      </x:c>
      <x:c r="F12" s="42" t="str">
        <x:v>Отсутствует</x:v>
      </x:c>
      <x:c r="G12" s="42" t="str">
        <x:v>Не запускались</x:v>
      </x:c>
      <x:c r="H12" s="42" t="str">
        <x:v>Architecture review</x:v>
      </x:c>
      <x:c r="I12" s="42" t="str">
        <x:v>P0</x:v>
      </x:c>
      <x:c r="J12" s="36" t="str">
        <x:v>Синхронизировать BCK-02 registry: Draft v0.2 — Present</x:v>
      </x:c>
      <x:c r="K12" s="36" t="str">
        <x:v>OD-07/OD-11 + registry drift</x:v>
      </x:c>
      <x:c r="L12" s="36" t="str">
        <x:v>Security/Privacy</x:v>
      </x:c>
      <x:c r="M12" s="36" t="str">
        <x:v>docs/product/BACKEND_SECURITY_PRIVACY_SPEC.md</x:v>
      </x:c>
      <x:c r="N12" s="45" t="n">
        <x:v>46250.5</x:v>
      </x:c>
      <x:c r="O12" s="48" t="n">
        <x:f>IF(B12="","",AVERAGE(IFERROR(VLOOKUP(D12,'Справочники'!$A$5:$B$14,2,FALSE),0),IFERROR(VLOOKUP(E12,'Справочники'!$D$5:$E$12,2,FALSE),0),IFERROR(VLOOKUP(F12,'Справочники'!$G$5:$H$12,2,FALSE),0),IFERROR(VLOOKUP(G12,'Справочники'!$J$5:$K$12,2,FALSE),0)))</x:f>
        <x:v>0.1375</x:v>
      </x:c>
      <x:c r="P12" s="36" t="str">
        <x:v>Файл BCK-04 v0.2 существует; BCK-02 §5 всё ещё говорит Planned</x:v>
      </x:c>
    </x:row>
    <x:row r="13" ht="44" customHeight="1">
      <x:c r="A13" s="39" t="str">
        <x:v>BCK-05</x:v>
      </x:c>
      <x:c r="B13" s="36" t="str">
        <x:v>Deployment &amp; Operations</x:v>
      </x:c>
      <x:c r="C13" s="36" t="str">
        <x:v>Backend spec</x:v>
      </x:c>
      <x:c r="D13" s="42" t="str">
        <x:v>План</x:v>
      </x:c>
      <x:c r="E13" s="42" t="str">
        <x:v>Отсутствует</x:v>
      </x:c>
      <x:c r="F13" s="42" t="str">
        <x:v>Отсутствует</x:v>
      </x:c>
      <x:c r="G13" s="42" t="str">
        <x:v>Не запускались</x:v>
      </x:c>
      <x:c r="H13" s="42" t="str">
        <x:v>BCK-01 + BCK-04</x:v>
      </x:c>
      <x:c r="I13" s="42" t="str">
        <x:v>P0</x:v>
      </x:c>
      <x:c r="J13" s="36" t="str">
        <x:v>Создать spec после parent reviews</x:v>
      </x:c>
      <x:c r="K13" s="36" t="str">
        <x:v>BCK-01/BCK-04</x:v>
      </x:c>
      <x:c r="L13" s="36" t="str">
        <x:v>Platform Operations</x:v>
      </x:c>
      <x:c r="M13" s="36" t="str">
        <x:v>docs/product/BACKEND_DEPLOYMENT_OPERATIONS_SPEC.md</x:v>
      </x:c>
      <x:c r="N13" s="45"/>
      <x:c r="O13" s="48" t="n">
        <x:f>IF(B13="","",AVERAGE(IFERROR(VLOOKUP(D13,'Справочники'!$A$5:$B$14,2,FALSE),0),IFERROR(VLOOKUP(E13,'Справочники'!$D$5:$E$12,2,FALSE),0),IFERROR(VLOOKUP(F13,'Справочники'!$G$5:$H$12,2,FALSE),0),IFERROR(VLOOKUP(G13,'Справочники'!$J$5:$K$12,2,FALSE),0)))</x:f>
        <x:v>0.025</x:v>
      </x:c>
      <x:c r="P13" s="36" t="str"/>
    </x:row>
    <x:row r="14" ht="44" customHeight="1">
      <x:c r="A14" s="39" t="str">
        <x:v>BCK-06</x:v>
      </x:c>
      <x:c r="B14" s="36" t="str">
        <x:v>Identity Publisher backend</x:v>
      </x:c>
      <x:c r="C14" s="36" t="str">
        <x:v>Backend spec</x:v>
      </x:c>
      <x:c r="D14" s="42" t="str">
        <x:v>План</x:v>
      </x:c>
      <x:c r="E14" s="42" t="str">
        <x:v>Отсутствует</x:v>
      </x:c>
      <x:c r="F14" s="42" t="str">
        <x:v>Отсутствует</x:v>
      </x:c>
      <x:c r="G14" s="42" t="str">
        <x:v>Не запускались</x:v>
      </x:c>
      <x:c r="H14" s="42" t="str">
        <x:v>ADR 0015 + BCK-03/04</x:v>
      </x:c>
      <x:c r="I14" s="42" t="str">
        <x:v>P0</x:v>
      </x:c>
      <x:c r="J14" s="36" t="str">
        <x:v>Создать production authority spec</x:v>
      </x:c>
      <x:c r="K14" s="36" t="str">
        <x:v>OD-08/OD-11</x:v>
      </x:c>
      <x:c r="L14" s="36" t="str">
        <x:v>Identity</x:v>
      </x:c>
      <x:c r="M14" s="36" t="str">
        <x:v>docs/product/IDENTITY_PUBLISHER_BACKEND_SPEC.md</x:v>
      </x:c>
      <x:c r="N14" s="45"/>
      <x:c r="O14" s="48" t="n">
        <x:f>IF(B14="","",AVERAGE(IFERROR(VLOOKUP(D14,'Справочники'!$A$5:$B$14,2,FALSE),0),IFERROR(VLOOKUP(E14,'Справочники'!$D$5:$E$12,2,FALSE),0),IFERROR(VLOOKUP(F14,'Справочники'!$G$5:$H$12,2,FALSE),0),IFERROR(VLOOKUP(G14,'Справочники'!$J$5:$K$12,2,FALSE),0)))</x:f>
        <x:v>0.025</x:v>
      </x:c>
      <x:c r="P14" s="36" t="str"/>
    </x:row>
    <x:row r="15" ht="44" customHeight="1">
      <x:c r="A15" s="39" t="str">
        <x:v>BCK-07</x:v>
      </x:c>
      <x:c r="B15" s="36" t="str">
        <x:v>Content publication</x:v>
      </x:c>
      <x:c r="C15" s="36" t="str">
        <x:v>Backend spec</x:v>
      </x:c>
      <x:c r="D15" s="42" t="str">
        <x:v>План</x:v>
      </x:c>
      <x:c r="E15" s="42" t="str">
        <x:v>Отсутствует</x:v>
      </x:c>
      <x:c r="F15" s="42" t="str">
        <x:v>Отсутствует</x:v>
      </x:c>
      <x:c r="G15" s="42" t="str">
        <x:v>Не запускались</x:v>
      </x:c>
      <x:c r="H15" s="42" t="str">
        <x:v>BCK-03/04/06</x:v>
      </x:c>
      <x:c r="I15" s="42" t="str">
        <x:v>P1</x:v>
      </x:c>
      <x:c r="J15" s="36" t="str">
        <x:v>Описать 10 типов и publication lifecycle</x:v>
      </x:c>
      <x:c r="K15" s="36" t="str">
        <x:v>BCK-06</x:v>
      </x:c>
      <x:c r="L15" s="36" t="str">
        <x:v>Content Platform</x:v>
      </x:c>
      <x:c r="M15" s="36" t="str">
        <x:v>docs/product/CONTENT_PUBLICATION_BACKEND_SPEC.md</x:v>
      </x:c>
      <x:c r="N15" s="45"/>
      <x:c r="O15" s="48" t="n">
        <x:f>IF(B15="","",AVERAGE(IFERROR(VLOOKUP(D15,'Справочники'!$A$5:$B$14,2,FALSE),0),IFERROR(VLOOKUP(E15,'Справочники'!$D$5:$E$12,2,FALSE),0),IFERROR(VLOOKUP(F15,'Справочники'!$G$5:$H$12,2,FALSE),0),IFERROR(VLOOKUP(G15,'Справочники'!$J$5:$K$12,2,FALSE),0)))</x:f>
        <x:v>0.025</x:v>
      </x:c>
      <x:c r="P15" s="36" t="str"/>
    </x:row>
    <x:row r="16" ht="44" customHeight="1">
      <x:c r="A16" s="39" t="str">
        <x:v>BCK-08</x:v>
      </x:c>
      <x:c r="B16" s="36" t="str">
        <x:v>Discover/Search/Catalog</x:v>
      </x:c>
      <x:c r="C16" s="36" t="str">
        <x:v>Backend spec</x:v>
      </x:c>
      <x:c r="D16" s="42" t="str">
        <x:v>План</x:v>
      </x:c>
      <x:c r="E16" s="42" t="str">
        <x:v>Отсутствует</x:v>
      </x:c>
      <x:c r="F16" s="42" t="str">
        <x:v>Отсутствует</x:v>
      </x:c>
      <x:c r="G16" s="42" t="str">
        <x:v>Не запускались</x:v>
      </x:c>
      <x:c r="H16" s="42" t="str">
        <x:v>OD-01/OD-03</x:v>
      </x:c>
      <x:c r="I16" s="42" t="str">
        <x:v>P1</x:v>
      </x:c>
      <x:c r="J16" s="36" t="str">
        <x:v>Решить search/geo architecture</x:v>
      </x:c>
      <x:c r="K16" s="36" t="str">
        <x:v>OD-01</x:v>
      </x:c>
      <x:c r="L16" s="36" t="str">
        <x:v>Discover</x:v>
      </x:c>
      <x:c r="M16" s="36" t="str">
        <x:v>docs/product/DISCOVER_SEARCH_CATALOG_BACKEND_SPEC.md</x:v>
      </x:c>
      <x:c r="N16" s="45"/>
      <x:c r="O16" s="48" t="n">
        <x:f>IF(B16="","",AVERAGE(IFERROR(VLOOKUP(D16,'Справочники'!$A$5:$B$14,2,FALSE),0),IFERROR(VLOOKUP(E16,'Справочники'!$D$5:$E$12,2,FALSE),0),IFERROR(VLOOKUP(F16,'Справочники'!$G$5:$H$12,2,FALSE),0),IFERROR(VLOOKUP(G16,'Справочники'!$J$5:$K$12,2,FALSE),0)))</x:f>
        <x:v>0.025</x:v>
      </x:c>
      <x:c r="P16" s="36" t="str"/>
    </x:row>
    <x:row r="17" ht="44" customHeight="1">
      <x:c r="A17" s="39" t="str">
        <x:v>BCK-09</x:v>
      </x:c>
      <x:c r="B17" s="36" t="str">
        <x:v>Event Booking backend</x:v>
      </x:c>
      <x:c r="C17" s="36" t="str">
        <x:v>Backend spec</x:v>
      </x:c>
      <x:c r="D17" s="42" t="str">
        <x:v>Review</x:v>
      </x:c>
      <x:c r="E17" s="42" t="str">
        <x:v>Review</x:v>
      </x:c>
      <x:c r="F17" s="42" t="str">
        <x:v>Отсутствует</x:v>
      </x:c>
      <x:c r="G17" s="42" t="str">
        <x:v>Не запускались</x:v>
      </x:c>
      <x:c r="H17" s="42" t="str">
        <x:v>ECL-03C authorization</x:v>
      </x:c>
      <x:c r="I17" s="42" t="str">
        <x:v>P0</x:v>
      </x:c>
      <x:c r="J17" s="36" t="str">
        <x:v>Принять plan и закрыть hard dependencies</x:v>
      </x:c>
      <x:c r="K17" s="36" t="str">
        <x:v>BCK-03/04/05/06/07</x:v>
      </x:c>
      <x:c r="L17" s="36" t="str">
        <x:v>Booking</x:v>
      </x:c>
      <x:c r="M17" s="36" t="str">
        <x:v>docs/product/EVENT_BOOKING_BACKEND_FIREBASE_FULL_SPEC.md</x:v>
      </x:c>
      <x:c r="N17" s="45" t="n">
        <x:v>46250</x:v>
      </x:c>
      <x:c r="O17" s="48" t="n">
        <x:f>IF(B17="","",AVERAGE(IFERROR(VLOOKUP(D17,'Справочники'!$A$5:$B$14,2,FALSE),0),IFERROR(VLOOKUP(E17,'Справочники'!$D$5:$E$12,2,FALSE),0),IFERROR(VLOOKUP(F17,'Справочники'!$G$5:$H$12,2,FALSE),0),IFERROR(VLOOKUP(G17,'Справочники'!$J$5:$K$12,2,FALSE),0)))</x:f>
        <x:v>0.3125</x:v>
      </x:c>
      <x:c r="P17" s="36" t="str"/>
    </x:row>
    <x:row r="18" ht="44" customHeight="1">
      <x:c r="A18" s="39" t="str">
        <x:v>BCK-10</x:v>
      </x:c>
      <x:c r="B18" s="36" t="str">
        <x:v>Scenario / Quick Plan backend</x:v>
      </x:c>
      <x:c r="C18" s="36" t="str">
        <x:v>Backend spec</x:v>
      </x:c>
      <x:c r="D18" s="42" t="str">
        <x:v>План</x:v>
      </x:c>
      <x:c r="E18" s="42" t="str">
        <x:v>Отсутствует</x:v>
      </x:c>
      <x:c r="F18" s="42" t="str">
        <x:v>Отсутствует</x:v>
      </x:c>
      <x:c r="G18" s="42" t="str">
        <x:v>Не запускались</x:v>
      </x:c>
      <x:c r="H18" s="42" t="str">
        <x:v>BCK-03/04/06/07/18</x:v>
      </x:c>
      <x:c r="I18" s="42" t="str">
        <x:v>P1</x:v>
      </x:c>
      <x:c r="J18" s="36" t="str">
        <x:v>Создать sync/collaboration spec</x:v>
      </x:c>
      <x:c r="K18" s="36" t="str">
        <x:v>Identity/import</x:v>
      </x:c>
      <x:c r="L18" s="36" t="str">
        <x:v>Planning</x:v>
      </x:c>
      <x:c r="M18" s="36" t="str">
        <x:v>docs/product/PLANNING_SCENARIO_QUICK_PLAN_BACKEND_SPEC.md</x:v>
      </x:c>
      <x:c r="N18" s="45"/>
      <x:c r="O18" s="48" t="n">
        <x:f>IF(B18="","",AVERAGE(IFERROR(VLOOKUP(D18,'Справочники'!$A$5:$B$14,2,FALSE),0),IFERROR(VLOOKUP(E18,'Справочники'!$D$5:$E$12,2,FALSE),0),IFERROR(VLOOKUP(F18,'Справочники'!$G$5:$H$12,2,FALSE),0),IFERROR(VLOOKUP(G18,'Справочники'!$J$5:$K$12,2,FALSE),0)))</x:f>
        <x:v>0.025</x:v>
      </x:c>
      <x:c r="P18" s="36" t="str"/>
    </x:row>
    <x:row r="19" ht="44" customHeight="1">
      <x:c r="A19" s="39" t="str">
        <x:v>BCK-11</x:v>
      </x:c>
      <x:c r="B19" s="36" t="str">
        <x:v>Route / GPX backend</x:v>
      </x:c>
      <x:c r="C19" s="36" t="str">
        <x:v>Backend spec</x:v>
      </x:c>
      <x:c r="D19" s="42" t="str">
        <x:v>План</x:v>
      </x:c>
      <x:c r="E19" s="42" t="str">
        <x:v>Отсутствует</x:v>
      </x:c>
      <x:c r="F19" s="42" t="str">
        <x:v>Отсутствует</x:v>
      </x:c>
      <x:c r="G19" s="42" t="str">
        <x:v>Не запускались</x:v>
      </x:c>
      <x:c r="H19" s="42" t="str">
        <x:v>BCK-03/04/06/07/14/18</x:v>
      </x:c>
      <x:c r="I19" s="42" t="str">
        <x:v>P1</x:v>
      </x:c>
      <x:c r="J19" s="36" t="str">
        <x:v>Создать route sync/media/privacy spec</x:v>
      </x:c>
      <x:c r="K19" s="36" t="str">
        <x:v>Media + Identity</x:v>
      </x:c>
      <x:c r="L19" s="36" t="str">
        <x:v>Route</x:v>
      </x:c>
      <x:c r="M19" s="36" t="str">
        <x:v>docs/product/ROUTE_GPX_BACKEND_SPEC.md</x:v>
      </x:c>
      <x:c r="N19" s="45"/>
      <x:c r="O19" s="48" t="n">
        <x:f>IF(B19="","",AVERAGE(IFERROR(VLOOKUP(D19,'Справочники'!$A$5:$B$14,2,FALSE),0),IFERROR(VLOOKUP(E19,'Справочники'!$D$5:$E$12,2,FALSE),0),IFERROR(VLOOKUP(F19,'Справочники'!$G$5:$H$12,2,FALSE),0),IFERROR(VLOOKUP(G19,'Справочники'!$J$5:$K$12,2,FALSE),0)))</x:f>
        <x:v>0.025</x:v>
      </x:c>
      <x:c r="P19" s="36" t="str"/>
    </x:row>
    <x:row r="20" ht="44" customHeight="1">
      <x:c r="A20" s="39" t="str">
        <x:v>BCK-12</x:v>
      </x:c>
      <x:c r="B20" s="36" t="str">
        <x:v>User Library / Reviews</x:v>
      </x:c>
      <x:c r="C20" s="36" t="str">
        <x:v>Backend spec</x:v>
      </x:c>
      <x:c r="D20" s="42" t="str">
        <x:v>План</x:v>
      </x:c>
      <x:c r="E20" s="42" t="str">
        <x:v>Отсутствует</x:v>
      </x:c>
      <x:c r="F20" s="42" t="str">
        <x:v>Отсутствует</x:v>
      </x:c>
      <x:c r="G20" s="42" t="str">
        <x:v>Не запускались</x:v>
      </x:c>
      <x:c r="H20" s="42" t="str">
        <x:v>BCK-03/04/06/08</x:v>
      </x:c>
      <x:c r="I20" s="42" t="str">
        <x:v>P1</x:v>
      </x:c>
      <x:c r="J20" s="36" t="str">
        <x:v>Разделить library и reviews aggregates</x:v>
      </x:c>
      <x:c r="K20" s="36" t="str">
        <x:v>Reviews product spec missing</x:v>
      </x:c>
      <x:c r="L20" s="36" t="str">
        <x:v>User Platform</x:v>
      </x:c>
      <x:c r="M20" s="36" t="str">
        <x:v>docs/product/USER_LIBRARY_REVIEWS_BACKEND_SPEC.md</x:v>
      </x:c>
      <x:c r="N20" s="45"/>
      <x:c r="O20" s="48" t="n">
        <x:f>IF(B20="","",AVERAGE(IFERROR(VLOOKUP(D20,'Справочники'!$A$5:$B$14,2,FALSE),0),IFERROR(VLOOKUP(E20,'Справочники'!$D$5:$E$12,2,FALSE),0),IFERROR(VLOOKUP(F20,'Справочники'!$G$5:$H$12,2,FALSE),0),IFERROR(VLOOKUP(G20,'Справочники'!$J$5:$K$12,2,FALSE),0)))</x:f>
        <x:v>0.025</x:v>
      </x:c>
      <x:c r="P20" s="36" t="str"/>
    </x:row>
    <x:row r="21" ht="44" customHeight="1">
      <x:c r="A21" s="39" t="str">
        <x:v>BCK-13</x:v>
      </x:c>
      <x:c r="B21" s="36" t="str">
        <x:v>Notifications backend</x:v>
      </x:c>
      <x:c r="C21" s="36" t="str">
        <x:v>Backend spec</x:v>
      </x:c>
      <x:c r="D21" s="42" t="str">
        <x:v>План</x:v>
      </x:c>
      <x:c r="E21" s="42" t="str">
        <x:v>Отсутствует</x:v>
      </x:c>
      <x:c r="F21" s="42" t="str">
        <x:v>Отсутствует</x:v>
      </x:c>
      <x:c r="G21" s="42" t="str">
        <x:v>Не запускались</x:v>
      </x:c>
      <x:c r="H21" s="42" t="str">
        <x:v>OD-02/OD-09</x:v>
      </x:c>
      <x:c r="I21" s="42" t="str">
        <x:v>P1</x:v>
      </x:c>
      <x:c r="J21" s="36" t="str">
        <x:v>Описать inbox/outbox/push delivery</x:v>
      </x:c>
      <x:c r="K21" s="36" t="str">
        <x:v>Event envelope open</x:v>
      </x:c>
      <x:c r="L21" s="36" t="str">
        <x:v>Notifications</x:v>
      </x:c>
      <x:c r="M21" s="36" t="str">
        <x:v>docs/product/NOTIFICATIONS_BACKEND_SPEC.md</x:v>
      </x:c>
      <x:c r="N21" s="45"/>
      <x:c r="O21" s="48" t="n">
        <x:f>IF(B21="","",AVERAGE(IFERROR(VLOOKUP(D21,'Справочники'!$A$5:$B$14,2,FALSE),0),IFERROR(VLOOKUP(E21,'Справочники'!$D$5:$E$12,2,FALSE),0),IFERROR(VLOOKUP(F21,'Справочники'!$G$5:$H$12,2,FALSE),0),IFERROR(VLOOKUP(G21,'Справочники'!$J$5:$K$12,2,FALSE),0)))</x:f>
        <x:v>0.025</x:v>
      </x:c>
      <x:c r="P21" s="36" t="str"/>
    </x:row>
    <x:row r="22" ht="44" customHeight="1">
      <x:c r="A22" s="39" t="str">
        <x:v>BCK-14</x:v>
      </x:c>
      <x:c r="B22" s="36" t="str">
        <x:v>Media Storage</x:v>
      </x:c>
      <x:c r="C22" s="36" t="str">
        <x:v>Backend spec</x:v>
      </x:c>
      <x:c r="D22" s="42" t="str">
        <x:v>План</x:v>
      </x:c>
      <x:c r="E22" s="42" t="str">
        <x:v>Отсутствует</x:v>
      </x:c>
      <x:c r="F22" s="42" t="str">
        <x:v>Отсутствует</x:v>
      </x:c>
      <x:c r="G22" s="42" t="str">
        <x:v>Не запускались</x:v>
      </x:c>
      <x:c r="H22" s="42" t="str">
        <x:v>BCK-03/04/05/06/07</x:v>
      </x:c>
      <x:c r="I22" s="42" t="str">
        <x:v>P1</x:v>
      </x:c>
      <x:c r="J22" s="36" t="str">
        <x:v>Описать upload/finalize/ownership/deletion</x:v>
      </x:c>
      <x:c r="K22" s="36" t="str">
        <x:v>Platform design</x:v>
      </x:c>
      <x:c r="L22" s="36" t="str">
        <x:v>Media Platform</x:v>
      </x:c>
      <x:c r="M22" s="36" t="str">
        <x:v>docs/product/MEDIA_STORAGE_BACKEND_SPEC.md</x:v>
      </x:c>
      <x:c r="N22" s="45"/>
      <x:c r="O22" s="48" t="n">
        <x:f>IF(B22="","",AVERAGE(IFERROR(VLOOKUP(D22,'Справочники'!$A$5:$B$14,2,FALSE),0),IFERROR(VLOOKUP(E22,'Справочники'!$D$5:$E$12,2,FALSE),0),IFERROR(VLOOKUP(F22,'Справочники'!$G$5:$H$12,2,FALSE),0),IFERROR(VLOOKUP(G22,'Справочники'!$J$5:$K$12,2,FALSE),0)))</x:f>
        <x:v>0.025</x:v>
      </x:c>
      <x:c r="P22" s="36" t="str"/>
    </x:row>
    <x:row r="23" ht="44" customHeight="1">
      <x:c r="A23" s="39" t="str">
        <x:v>BCK-15</x:v>
      </x:c>
      <x:c r="B23" s="36" t="str">
        <x:v>AI backend</x:v>
      </x:c>
      <x:c r="C23" s="36" t="str">
        <x:v>Backend spec</x:v>
      </x:c>
      <x:c r="D23" s="42" t="str">
        <x:v>План</x:v>
      </x:c>
      <x:c r="E23" s="42" t="str">
        <x:v>Отсутствует</x:v>
      </x:c>
      <x:c r="F23" s="42" t="str">
        <x:v>Отсутствует</x:v>
      </x:c>
      <x:c r="G23" s="42" t="str">
        <x:v>Не запускались</x:v>
      </x:c>
      <x:c r="H23" s="42" t="str">
        <x:v>ADR 0018 + vendor approval</x:v>
      </x:c>
      <x:c r="I23" s="42" t="str">
        <x:v>P2</x:v>
      </x:c>
      <x:c r="J23" s="36" t="str">
        <x:v>Создать provider-neutral proxy spec</x:v>
      </x:c>
      <x:c r="K23" s="36" t="str">
        <x:v>Provider/cost/security</x:v>
      </x:c>
      <x:c r="L23" s="36" t="str">
        <x:v>AI Platform</x:v>
      </x:c>
      <x:c r="M23" s="36" t="str">
        <x:v>docs/product/AI_BACKEND_SPEC.md</x:v>
      </x:c>
      <x:c r="N23" s="45"/>
      <x:c r="O23" s="48" t="n">
        <x:f>IF(B23="","",AVERAGE(IFERROR(VLOOKUP(D23,'Справочники'!$A$5:$B$14,2,FALSE),0),IFERROR(VLOOKUP(E23,'Справочники'!$D$5:$E$12,2,FALSE),0),IFERROR(VLOOKUP(F23,'Справочники'!$G$5:$H$12,2,FALSE),0),IFERROR(VLOOKUP(G23,'Справочники'!$J$5:$K$12,2,FALSE),0)))</x:f>
        <x:v>0.025</x:v>
      </x:c>
      <x:c r="P23" s="36" t="str"/>
    </x:row>
    <x:row r="24" ht="44" customHeight="1">
      <x:c r="A24" s="39" t="str">
        <x:v>BCK-16</x:v>
      </x:c>
      <x:c r="B24" s="36" t="str">
        <x:v>Provider integrations</x:v>
      </x:c>
      <x:c r="C24" s="36" t="str">
        <x:v>Backend spec</x:v>
      </x:c>
      <x:c r="D24" s="42" t="str">
        <x:v>План</x:v>
      </x:c>
      <x:c r="E24" s="42" t="str">
        <x:v>Отсутствует</x:v>
      </x:c>
      <x:c r="F24" s="42" t="str">
        <x:v>Отсутствует</x:v>
      </x:c>
      <x:c r="G24" s="42" t="str">
        <x:v>Не запускались</x:v>
      </x:c>
      <x:c r="H24" s="42" t="str">
        <x:v>Vendor/security/cost gate</x:v>
      </x:c>
      <x:c r="I24" s="42" t="str">
        <x:v>P2</x:v>
      </x:c>
      <x:c r="J24" s="36" t="str">
        <x:v>Описать provenance/freshness/cache</x:v>
      </x:c>
      <x:c r="K24" s="36" t="str">
        <x:v>Provider selection</x:v>
      </x:c>
      <x:c r="L24" s="36" t="str">
        <x:v>Integrations</x:v>
      </x:c>
      <x:c r="M24" s="36" t="str">
        <x:v>docs/product/PROVIDER_INTEGRATION_BACKEND_SPEC.md</x:v>
      </x:c>
      <x:c r="N24" s="45"/>
      <x:c r="O24" s="48" t="n">
        <x:f>IF(B24="","",AVERAGE(IFERROR(VLOOKUP(D24,'Справочники'!$A$5:$B$14,2,FALSE),0),IFERROR(VLOOKUP(E24,'Справочники'!$D$5:$E$12,2,FALSE),0),IFERROR(VLOOKUP(F24,'Справочники'!$G$5:$H$12,2,FALSE),0),IFERROR(VLOOKUP(G24,'Справочники'!$J$5:$K$12,2,FALSE),0)))</x:f>
        <x:v>0.025</x:v>
      </x:c>
      <x:c r="P24" s="36" t="str"/>
    </x:row>
    <x:row r="25" ht="44" customHeight="1">
      <x:c r="A25" s="39" t="str">
        <x:v>BCK-17</x:v>
      </x:c>
      <x:c r="B25" s="36" t="str">
        <x:v>Payments</x:v>
      </x:c>
      <x:c r="C25" s="36" t="str">
        <x:v>Backend spec</x:v>
      </x:c>
      <x:c r="D25" s="42" t="str">
        <x:v>План</x:v>
      </x:c>
      <x:c r="E25" s="42" t="str">
        <x:v>Отсутствует</x:v>
      </x:c>
      <x:c r="F25" s="42" t="str">
        <x:v>Отсутствует</x:v>
      </x:c>
      <x:c r="G25" s="42" t="str">
        <x:v>Не запускались</x:v>
      </x:c>
      <x:c r="H25" s="42" t="str">
        <x:v>New Accepted ADR</x:v>
      </x:c>
      <x:c r="I25" s="42" t="str">
        <x:v>P3</x:v>
      </x:c>
      <x:c r="J25" s="36" t="str">
        <x:v>Не начинать до отдельного ADR</x:v>
      </x:c>
      <x:c r="K25" s="36" t="str">
        <x:v>Legal/financial/security</x:v>
      </x:c>
      <x:c r="L25" s="36" t="str">
        <x:v>Payments</x:v>
      </x:c>
      <x:c r="M25" s="36" t="str">
        <x:v>docs/product/PAYMENTS_BACKEND_SPEC.md</x:v>
      </x:c>
      <x:c r="N25" s="45"/>
      <x:c r="O25" s="48" t="n">
        <x:f>IF(B25="","",AVERAGE(IFERROR(VLOOKUP(D25,'Справочники'!$A$5:$B$14,2,FALSE),0),IFERROR(VLOOKUP(E25,'Справочники'!$D$5:$E$12,2,FALSE),0),IFERROR(VLOOKUP(F25,'Справочники'!$G$5:$H$12,2,FALSE),0),IFERROR(VLOOKUP(G25,'Справочники'!$J$5:$K$12,2,FALSE),0)))</x:f>
        <x:v>0.025</x:v>
      </x:c>
      <x:c r="P25" s="36" t="str"/>
    </x:row>
    <x:row r="26" ht="44" customHeight="1">
      <x:c r="A26" s="39" t="str">
        <x:v>BCK-18</x:v>
      </x:c>
      <x:c r="B26" s="36" t="str">
        <x:v>Mobile integration standard</x:v>
      </x:c>
      <x:c r="C26" s="36" t="str">
        <x:v>Backend spec</x:v>
      </x:c>
      <x:c r="D26" s="42" t="str">
        <x:v>План</x:v>
      </x:c>
      <x:c r="E26" s="42" t="str">
        <x:v>Отсутствует</x:v>
      </x:c>
      <x:c r="F26" s="42" t="str">
        <x:v>Отсутствует</x:v>
      </x:c>
      <x:c r="G26" s="42" t="str">
        <x:v>Не запускались</x:v>
      </x:c>
      <x:c r="H26" s="42" t="str">
        <x:v>OD-04/08/10</x:v>
      </x:c>
      <x:c r="I26" s="42" t="str">
        <x:v>P0</x:v>
      </x:c>
      <x:c r="J26" s="36" t="str">
        <x:v>Описать adapters/import/rollback</x:v>
      </x:c>
      <x:c r="K26" s="36" t="str">
        <x:v>BCK-03/04/06/20</x:v>
      </x:c>
      <x:c r="L26" s="36" t="str">
        <x:v>Mobile Platform</x:v>
      </x:c>
      <x:c r="M26" s="36" t="str">
        <x:v>docs/product/MOBILE_BACKEND_INTEGRATION_STANDARD.md</x:v>
      </x:c>
      <x:c r="N26" s="45"/>
      <x:c r="O26" s="48" t="n">
        <x:f>IF(B26="","",AVERAGE(IFERROR(VLOOKUP(D26,'Справочники'!$A$5:$B$14,2,FALSE),0),IFERROR(VLOOKUP(E26,'Справочники'!$D$5:$E$12,2,FALSE),0),IFERROR(VLOOKUP(F26,'Справочники'!$G$5:$H$12,2,FALSE),0),IFERROR(VLOOKUP(G26,'Справочники'!$J$5:$K$12,2,FALSE),0)))</x:f>
        <x:v>0.025</x:v>
      </x:c>
      <x:c r="P26" s="36" t="str"/>
    </x:row>
    <x:row r="27" ht="44" customHeight="1">
      <x:c r="A27" s="39" t="str">
        <x:v>BCK-19</x:v>
      </x:c>
      <x:c r="B27" s="36" t="str">
        <x:v>Admin support backend</x:v>
      </x:c>
      <x:c r="C27" s="36" t="str">
        <x:v>Backend spec</x:v>
      </x:c>
      <x:c r="D27" s="42" t="str">
        <x:v>План</x:v>
      </x:c>
      <x:c r="E27" s="42" t="str">
        <x:v>Отсутствует</x:v>
      </x:c>
      <x:c r="F27" s="42" t="str">
        <x:v>Отсутствует</x:v>
      </x:c>
      <x:c r="G27" s="42" t="str">
        <x:v>Не запускались</x:v>
      </x:c>
      <x:c r="H27" s="42" t="str">
        <x:v>BCK-03/04/05/06</x:v>
      </x:c>
      <x:c r="I27" s="42" t="str">
        <x:v>P2</x:v>
      </x:c>
      <x:c r="J27" s="36" t="str">
        <x:v>Описать privileged repair и audit</x:v>
      </x:c>
      <x:c r="K27" s="36" t="str">
        <x:v>Platform operations</x:v>
      </x:c>
      <x:c r="L27" s="36" t="str">
        <x:v>Admin Operations</x:v>
      </x:c>
      <x:c r="M27" s="36" t="str">
        <x:v>docs/product/ADMIN_SUPPORT_BACKEND_SPEC.md</x:v>
      </x:c>
      <x:c r="N27" s="45"/>
      <x:c r="O27" s="48" t="n">
        <x:f>IF(B27="","",AVERAGE(IFERROR(VLOOKUP(D27,'Справочники'!$A$5:$B$14,2,FALSE),0),IFERROR(VLOOKUP(E27,'Справочники'!$D$5:$E$12,2,FALSE),0),IFERROR(VLOOKUP(F27,'Справочники'!$G$5:$H$12,2,FALSE),0),IFERROR(VLOOKUP(G27,'Справочники'!$J$5:$K$12,2,FALSE),0)))</x:f>
        <x:v>0.025</x:v>
      </x:c>
      <x:c r="P27" s="36" t="str"/>
    </x:row>
    <x:row r="28" ht="44" customHeight="1">
      <x:c r="A28" s="39" t="str">
        <x:v>BCK-20</x:v>
      </x:c>
      <x:c r="B28" s="36" t="str">
        <x:v>Reference data / localization</x:v>
      </x:c>
      <x:c r="C28" s="36" t="str">
        <x:v>Backend spec</x:v>
      </x:c>
      <x:c r="D28" s="42" t="str">
        <x:v>План</x:v>
      </x:c>
      <x:c r="E28" s="42" t="str">
        <x:v>Отсутствует</x:v>
      </x:c>
      <x:c r="F28" s="42" t="str">
        <x:v>Отсутствует</x:v>
      </x:c>
      <x:c r="G28" s="42" t="str">
        <x:v>Не запускались</x:v>
      </x:c>
      <x:c r="H28" s="42" t="str">
        <x:v>OD-10</x:v>
      </x:c>
      <x:c r="I28" s="42" t="str">
        <x:v>P0</x:v>
      </x:c>
      <x:c r="J28" s="36" t="str">
        <x:v>Описать versioned market/language data</x:v>
      </x:c>
      <x:c r="K28" s="36" t="str">
        <x:v>LocalizedText decision</x:v>
      </x:c>
      <x:c r="L28" s="36" t="str">
        <x:v>Reference Data</x:v>
      </x:c>
      <x:c r="M28" s="36" t="str">
        <x:v>docs/product/REFERENCE_DATA_LOCALIZATION_SPEC.md</x:v>
      </x:c>
      <x:c r="N28" s="45"/>
      <x:c r="O28" s="48" t="n">
        <x:f>IF(B28="","",AVERAGE(IFERROR(VLOOKUP(D28,'Справочники'!$A$5:$B$14,2,FALSE),0),IFERROR(VLOOKUP(E28,'Справочники'!$D$5:$E$12,2,FALSE),0),IFERROR(VLOOKUP(F28,'Справочники'!$G$5:$H$12,2,FALSE),0),IFERROR(VLOOKUP(G28,'Справочники'!$J$5:$K$12,2,FALSE),0)))</x:f>
        <x:v>0.025</x:v>
      </x:c>
      <x:c r="P28" s="36" t="str"/>
    </x:row>
    <x:row r="29" ht="44" customHeight="1">
      <x:c r="A29" s="39" t="str">
        <x:v>BCK-21</x:v>
      </x:c>
      <x:c r="B29" s="36" t="str">
        <x:v>Analytics / Telemetry</x:v>
      </x:c>
      <x:c r="C29" s="36" t="str">
        <x:v>Backend spec</x:v>
      </x:c>
      <x:c r="D29" s="42" t="str">
        <x:v>План</x:v>
      </x:c>
      <x:c r="E29" s="42" t="str">
        <x:v>Отсутствует</x:v>
      </x:c>
      <x:c r="F29" s="42" t="str">
        <x:v>Отсутствует</x:v>
      </x:c>
      <x:c r="G29" s="42" t="str">
        <x:v>Не запускались</x:v>
      </x:c>
      <x:c r="H29" s="42" t="str">
        <x:v>OD-05</x:v>
      </x:c>
      <x:c r="I29" s="42" t="str">
        <x:v>P2</x:v>
      </x:c>
      <x:c r="J29" s="36" t="str">
        <x:v>Описать privacy-safe ingestion/retention</x:v>
      </x:c>
      <x:c r="K29" s="36" t="str">
        <x:v>Analytics destination</x:v>
      </x:c>
      <x:c r="L29" s="36" t="str">
        <x:v>Data Platform</x:v>
      </x:c>
      <x:c r="M29" s="36" t="str">
        <x:v>docs/product/ANALYTICS_TELEMETRY_BACKEND_SPEC.md</x:v>
      </x:c>
      <x:c r="N29" s="45"/>
      <x:c r="O29" s="48" t="n">
        <x:f>IF(B29="","",AVERAGE(IFERROR(VLOOKUP(D29,'Справочники'!$A$5:$B$14,2,FALSE),0),IFERROR(VLOOKUP(E29,'Справочники'!$D$5:$E$12,2,FALSE),0),IFERROR(VLOOKUP(F29,'Справочники'!$G$5:$H$12,2,FALSE),0),IFERROR(VLOOKUP(G29,'Справочники'!$J$5:$K$12,2,FALSE),0)))</x:f>
        <x:v>0.025</x:v>
      </x:c>
      <x:c r="P29" s="36" t="str"/>
    </x:row>
    <x:row r="30" ht="44" customHeight="1">
      <x:c r="A30" s="39" t="str">
        <x:v>BCK-22</x:v>
      </x:c>
      <x:c r="B30" s="36" t="str">
        <x:v>Trust &amp; Safety / Moderation</x:v>
      </x:c>
      <x:c r="C30" s="36" t="str">
        <x:v>Backend spec</x:v>
      </x:c>
      <x:c r="D30" s="42" t="str">
        <x:v>План</x:v>
      </x:c>
      <x:c r="E30" s="42" t="str">
        <x:v>Отсутствует</x:v>
      </x:c>
      <x:c r="F30" s="42" t="str">
        <x:v>Отсутствует</x:v>
      </x:c>
      <x:c r="G30" s="42" t="str">
        <x:v>Не запускались</x:v>
      </x:c>
      <x:c r="H30" s="42" t="str">
        <x:v>OD-06/OD-11</x:v>
      </x:c>
      <x:c r="I30" s="42" t="str">
        <x:v>P0</x:v>
      </x:c>
      <x:c r="J30" s="36" t="str">
        <x:v>Описать report/block/sanctions/appeals</x:v>
      </x:c>
      <x:c r="K30" s="36" t="str">
        <x:v>Policy decisions</x:v>
      </x:c>
      <x:c r="L30" s="36" t="str">
        <x:v>Trust &amp; Safety</x:v>
      </x:c>
      <x:c r="M30" s="36" t="str">
        <x:v>docs/product/TRUST_SAFETY_MODERATION_BACKEND_SPEC.md</x:v>
      </x:c>
      <x:c r="N30" s="45"/>
      <x:c r="O30" s="48" t="n">
        <x:f>IF(B30="","",AVERAGE(IFERROR(VLOOKUP(D30,'Справочники'!$A$5:$B$14,2,FALSE),0),IFERROR(VLOOKUP(E30,'Справочники'!$D$5:$E$12,2,FALSE),0),IFERROR(VLOOKUP(F30,'Справочники'!$G$5:$H$12,2,FALSE),0),IFERROR(VLOOKUP(G30,'Справочники'!$J$5:$K$12,2,FALSE),0)))</x:f>
        <x:v>0.025</x:v>
      </x:c>
      <x:c r="P30" s="36" t="str"/>
    </x:row>
    <x:row r="31" ht="44" customHeight="1">
      <x:c r="A31" s="39" t="str">
        <x:v>R0</x:v>
      </x:c>
      <x:c r="B31" s="36" t="str">
        <x:v>Toolchain/Emulator feasibility</x:v>
      </x:c>
      <x:c r="C31" s="36" t="str">
        <x:v>Backend wave</x:v>
      </x:c>
      <x:c r="D31" s="42" t="str">
        <x:v>План</x:v>
      </x:c>
      <x:c r="E31" s="42" t="str">
        <x:v>Approved</x:v>
      </x:c>
      <x:c r="F31" s="42" t="str">
        <x:v>Отсутствует</x:v>
      </x:c>
      <x:c r="G31" s="42" t="str">
        <x:v>Не запускались</x:v>
      </x:c>
      <x:c r="H31" s="42" t="str">
        <x:v>Explicit post-stabilization authorization</x:v>
      </x:c>
      <x:c r="I31" s="42" t="str">
        <x:v>P0</x:v>
      </x:c>
      <x:c r="J31" s="36" t="str">
        <x:v>Выполнить entry/exit evidence</x:v>
      </x:c>
      <x:c r="K31" s="36" t="str">
        <x:v>Authorization</x:v>
      </x:c>
      <x:c r="L31" s="36" t="str">
        <x:v>Platform</x:v>
      </x:c>
      <x:c r="M31" s="36" t="str">
        <x:v>docs/product/RECHARGE_BACKEND_DELIVERY_MAP.md</x:v>
      </x:c>
      <x:c r="N31" s="45"/>
      <x:c r="O31" s="48" t="n">
        <x:f>IF(B31="","",AVERAGE(IFERROR(VLOOKUP(D31,'Справочники'!$A$5:$B$14,2,FALSE),0),IFERROR(VLOOKUP(E31,'Справочники'!$D$5:$E$12,2,FALSE),0),IFERROR(VLOOKUP(F31,'Справочники'!$G$5:$H$12,2,FALSE),0),IFERROR(VLOOKUP(G31,'Справочники'!$J$5:$K$12,2,FALSE),0)))</x:f>
        <x:v>0.25</x:v>
      </x:c>
      <x:c r="P31" s="36" t="str"/>
    </x:row>
    <x:row r="32" ht="44" customHeight="1">
      <x:c r="A32" s="39" t="str">
        <x:v>R1</x:v>
      </x:c>
      <x:c r="B32" s="36" t="str">
        <x:v>Environment scaffold</x:v>
      </x:c>
      <x:c r="C32" s="36" t="str">
        <x:v>Backend wave</x:v>
      </x:c>
      <x:c r="D32" s="42" t="str">
        <x:v>План</x:v>
      </x:c>
      <x:c r="E32" s="42" t="str">
        <x:v>Approved</x:v>
      </x:c>
      <x:c r="F32" s="42" t="str">
        <x:v>Отсутствует</x:v>
      </x:c>
      <x:c r="G32" s="42" t="str">
        <x:v>Не запускались</x:v>
      </x:c>
      <x:c r="H32" s="42" t="str">
        <x:v>R0 + gate</x:v>
      </x:c>
      <x:c r="I32" s="42" t="str">
        <x:v>P0</x:v>
      </x:c>
      <x:c r="J32" s="36" t="str">
        <x:v>Выполнить entry/exit evidence</x:v>
      </x:c>
      <x:c r="K32" s="36" t="str">
        <x:v>Dependencies</x:v>
      </x:c>
      <x:c r="L32" s="36" t="str">
        <x:v>Platform</x:v>
      </x:c>
      <x:c r="M32" s="36" t="str">
        <x:v>docs/product/RECHARGE_BACKEND_DELIVERY_MAP.md</x:v>
      </x:c>
      <x:c r="N32" s="45"/>
      <x:c r="O32" s="48" t="n">
        <x:f>IF(B32="","",AVERAGE(IFERROR(VLOOKUP(D32,'Справочники'!$A$5:$B$14,2,FALSE),0),IFERROR(VLOOKUP(E32,'Справочники'!$D$5:$E$12,2,FALSE),0),IFERROR(VLOOKUP(F32,'Справочники'!$G$5:$H$12,2,FALSE),0),IFERROR(VLOOKUP(G32,'Справочники'!$J$5:$K$12,2,FALSE),0)))</x:f>
        <x:v>0.25</x:v>
      </x:c>
      <x:c r="P32" s="36" t="str"/>
    </x:row>
    <x:row r="33" ht="44" customHeight="1">
      <x:c r="A33" s="39" t="str">
        <x:v>R2</x:v>
      </x:c>
      <x:c r="B33" s="36" t="str">
        <x:v>Identity authority</x:v>
      </x:c>
      <x:c r="C33" s="36" t="str">
        <x:v>Backend wave</x:v>
      </x:c>
      <x:c r="D33" s="42" t="str">
        <x:v>План</x:v>
      </x:c>
      <x:c r="E33" s="42" t="str">
        <x:v>Approved</x:v>
      </x:c>
      <x:c r="F33" s="42" t="str">
        <x:v>Отсутствует</x:v>
      </x:c>
      <x:c r="G33" s="42" t="str">
        <x:v>Не запускались</x:v>
      </x:c>
      <x:c r="H33" s="42" t="str">
        <x:v>R1 + gate</x:v>
      </x:c>
      <x:c r="I33" s="42" t="str">
        <x:v>P0</x:v>
      </x:c>
      <x:c r="J33" s="36" t="str">
        <x:v>Выполнить entry/exit evidence</x:v>
      </x:c>
      <x:c r="K33" s="36" t="str">
        <x:v>Dependencies</x:v>
      </x:c>
      <x:c r="L33" s="36" t="str">
        <x:v>Platform</x:v>
      </x:c>
      <x:c r="M33" s="36" t="str">
        <x:v>docs/product/RECHARGE_BACKEND_DELIVERY_MAP.md</x:v>
      </x:c>
      <x:c r="N33" s="45"/>
      <x:c r="O33" s="48" t="n">
        <x:f>IF(B33="","",AVERAGE(IFERROR(VLOOKUP(D33,'Справочники'!$A$5:$B$14,2,FALSE),0),IFERROR(VLOOKUP(E33,'Справочники'!$D$5:$E$12,2,FALSE),0),IFERROR(VLOOKUP(F33,'Справочники'!$G$5:$H$12,2,FALSE),0),IFERROR(VLOOKUP(G33,'Справочники'!$J$5:$K$12,2,FALSE),0)))</x:f>
        <x:v>0.25</x:v>
      </x:c>
      <x:c r="P33" s="36" t="str"/>
    </x:row>
    <x:row r="34" ht="44" customHeight="1">
      <x:c r="A34" s="39" t="str">
        <x:v>R3</x:v>
      </x:c>
      <x:c r="B34" s="36" t="str">
        <x:v>Mobile adapters/content/catalog</x:v>
      </x:c>
      <x:c r="C34" s="36" t="str">
        <x:v>Backend wave</x:v>
      </x:c>
      <x:c r="D34" s="42" t="str">
        <x:v>План</x:v>
      </x:c>
      <x:c r="E34" s="42" t="str">
        <x:v>Approved</x:v>
      </x:c>
      <x:c r="F34" s="42" t="str">
        <x:v>Отсутствует</x:v>
      </x:c>
      <x:c r="G34" s="42" t="str">
        <x:v>Не запускались</x:v>
      </x:c>
      <x:c r="H34" s="42" t="str">
        <x:v>R2 + gate</x:v>
      </x:c>
      <x:c r="I34" s="42" t="str">
        <x:v>P0</x:v>
      </x:c>
      <x:c r="J34" s="36" t="str">
        <x:v>Выполнить entry/exit evidence</x:v>
      </x:c>
      <x:c r="K34" s="36" t="str">
        <x:v>Dependencies</x:v>
      </x:c>
      <x:c r="L34" s="36" t="str">
        <x:v>Platform</x:v>
      </x:c>
      <x:c r="M34" s="36" t="str">
        <x:v>docs/product/RECHARGE_BACKEND_DELIVERY_MAP.md</x:v>
      </x:c>
      <x:c r="N34" s="45"/>
      <x:c r="O34" s="48" t="n">
        <x:f>IF(B34="","",AVERAGE(IFERROR(VLOOKUP(D34,'Справочники'!$A$5:$B$14,2,FALSE),0),IFERROR(VLOOKUP(E34,'Справочники'!$D$5:$E$12,2,FALSE),0),IFERROR(VLOOKUP(F34,'Справочники'!$G$5:$H$12,2,FALSE),0),IFERROR(VLOOKUP(G34,'Справочники'!$J$5:$K$12,2,FALSE),0)))</x:f>
        <x:v>0.25</x:v>
      </x:c>
      <x:c r="P34" s="36" t="str"/>
    </x:row>
    <x:row r="35" ht="44" customHeight="1">
      <x:c r="A35" s="39" t="str">
        <x:v>R4</x:v>
      </x:c>
      <x:c r="B35" s="36" t="str">
        <x:v>Libraries/notifications/media</x:v>
      </x:c>
      <x:c r="C35" s="36" t="str">
        <x:v>Backend wave</x:v>
      </x:c>
      <x:c r="D35" s="42" t="str">
        <x:v>План</x:v>
      </x:c>
      <x:c r="E35" s="42" t="str">
        <x:v>Approved</x:v>
      </x:c>
      <x:c r="F35" s="42" t="str">
        <x:v>Отсутствует</x:v>
      </x:c>
      <x:c r="G35" s="42" t="str">
        <x:v>Не запускались</x:v>
      </x:c>
      <x:c r="H35" s="42" t="str">
        <x:v>R3 + gate</x:v>
      </x:c>
      <x:c r="I35" s="42" t="str">
        <x:v>P0</x:v>
      </x:c>
      <x:c r="J35" s="36" t="str">
        <x:v>Выполнить entry/exit evidence</x:v>
      </x:c>
      <x:c r="K35" s="36" t="str">
        <x:v>Dependencies</x:v>
      </x:c>
      <x:c r="L35" s="36" t="str">
        <x:v>Platform</x:v>
      </x:c>
      <x:c r="M35" s="36" t="str">
        <x:v>docs/product/RECHARGE_BACKEND_DELIVERY_MAP.md</x:v>
      </x:c>
      <x:c r="N35" s="45"/>
      <x:c r="O35" s="48" t="n">
        <x:f>IF(B35="","",AVERAGE(IFERROR(VLOOKUP(D35,'Справочники'!$A$5:$B$14,2,FALSE),0),IFERROR(VLOOKUP(E35,'Справочники'!$D$5:$E$12,2,FALSE),0),IFERROR(VLOOKUP(F35,'Справочники'!$G$5:$H$12,2,FALSE),0),IFERROR(VLOOKUP(G35,'Справочники'!$J$5:$K$12,2,FALSE),0)))</x:f>
        <x:v>0.25</x:v>
      </x:c>
      <x:c r="P35" s="36" t="str"/>
    </x:row>
    <x:row r="36" ht="44" customHeight="1">
      <x:c r="A36" s="39" t="str">
        <x:v>R5</x:v>
      </x:c>
      <x:c r="B36" s="36" t="str">
        <x:v>Disabled Booking emulator</x:v>
      </x:c>
      <x:c r="C36" s="36" t="str">
        <x:v>Backend wave</x:v>
      </x:c>
      <x:c r="D36" s="42" t="str">
        <x:v>План</x:v>
      </x:c>
      <x:c r="E36" s="42" t="str">
        <x:v>Approved</x:v>
      </x:c>
      <x:c r="F36" s="42" t="str">
        <x:v>Отсутствует</x:v>
      </x:c>
      <x:c r="G36" s="42" t="str">
        <x:v>Не запускались</x:v>
      </x:c>
      <x:c r="H36" s="42" t="str">
        <x:v>R4 + gate</x:v>
      </x:c>
      <x:c r="I36" s="42" t="str">
        <x:v>P0</x:v>
      </x:c>
      <x:c r="J36" s="36" t="str">
        <x:v>Выполнить entry/exit evidence</x:v>
      </x:c>
      <x:c r="K36" s="36" t="str">
        <x:v>Dependencies</x:v>
      </x:c>
      <x:c r="L36" s="36" t="str">
        <x:v>Platform</x:v>
      </x:c>
      <x:c r="M36" s="36" t="str">
        <x:v>docs/product/RECHARGE_BACKEND_DELIVERY_MAP.md</x:v>
      </x:c>
      <x:c r="N36" s="45"/>
      <x:c r="O36" s="48" t="n">
        <x:f>IF(B36="","",AVERAGE(IFERROR(VLOOKUP(D36,'Справочники'!$A$5:$B$14,2,FALSE),0),IFERROR(VLOOKUP(E36,'Справочники'!$D$5:$E$12,2,FALSE),0),IFERROR(VLOOKUP(F36,'Справочники'!$G$5:$H$12,2,FALSE),0),IFERROR(VLOOKUP(G36,'Справочники'!$J$5:$K$12,2,FALSE),0)))</x:f>
        <x:v>0.25</x:v>
      </x:c>
      <x:c r="P36" s="36" t="str"/>
    </x:row>
    <x:row r="37" ht="44" customHeight="1">
      <x:c r="A37" s="39" t="str">
        <x:v>R6</x:v>
      </x:c>
      <x:c r="B37" s="36" t="str">
        <x:v>Persistent staging mutations</x:v>
      </x:c>
      <x:c r="C37" s="36" t="str">
        <x:v>Backend wave</x:v>
      </x:c>
      <x:c r="D37" s="42" t="str">
        <x:v>План</x:v>
      </x:c>
      <x:c r="E37" s="42" t="str">
        <x:v>Approved</x:v>
      </x:c>
      <x:c r="F37" s="42" t="str">
        <x:v>Отсутствует</x:v>
      </x:c>
      <x:c r="G37" s="42" t="str">
        <x:v>Не запускались</x:v>
      </x:c>
      <x:c r="H37" s="42" t="str">
        <x:v>R5 + gate</x:v>
      </x:c>
      <x:c r="I37" s="42" t="str">
        <x:v>P1</x:v>
      </x:c>
      <x:c r="J37" s="36" t="str">
        <x:v>Выполнить entry/exit evidence</x:v>
      </x:c>
      <x:c r="K37" s="36" t="str">
        <x:v>Dependencies</x:v>
      </x:c>
      <x:c r="L37" s="36" t="str">
        <x:v>Platform</x:v>
      </x:c>
      <x:c r="M37" s="36" t="str">
        <x:v>docs/product/RECHARGE_BACKEND_DELIVERY_MAP.md</x:v>
      </x:c>
      <x:c r="N37" s="45"/>
      <x:c r="O37" s="48" t="n">
        <x:f>IF(B37="","",AVERAGE(IFERROR(VLOOKUP(D37,'Справочники'!$A$5:$B$14,2,FALSE),0),IFERROR(VLOOKUP(E37,'Справочники'!$D$5:$E$12,2,FALSE),0),IFERROR(VLOOKUP(F37,'Справочники'!$G$5:$H$12,2,FALSE),0),IFERROR(VLOOKUP(G37,'Справочники'!$J$5:$K$12,2,FALSE),0)))</x:f>
        <x:v>0.25</x:v>
      </x:c>
      <x:c r="P37" s="36" t="str"/>
    </x:row>
    <x:row r="38" ht="44" customHeight="1">
      <x:c r="A38" s="39" t="str">
        <x:v>R7</x:v>
      </x:c>
      <x:c r="B38" s="36" t="str">
        <x:v>Scenario/Route sync</x:v>
      </x:c>
      <x:c r="C38" s="36" t="str">
        <x:v>Backend wave</x:v>
      </x:c>
      <x:c r="D38" s="42" t="str">
        <x:v>План</x:v>
      </x:c>
      <x:c r="E38" s="42" t="str">
        <x:v>Approved</x:v>
      </x:c>
      <x:c r="F38" s="42" t="str">
        <x:v>Отсутствует</x:v>
      </x:c>
      <x:c r="G38" s="42" t="str">
        <x:v>Не запускались</x:v>
      </x:c>
      <x:c r="H38" s="42" t="str">
        <x:v>R6 + gate</x:v>
      </x:c>
      <x:c r="I38" s="42" t="str">
        <x:v>P1</x:v>
      </x:c>
      <x:c r="J38" s="36" t="str">
        <x:v>Выполнить entry/exit evidence</x:v>
      </x:c>
      <x:c r="K38" s="36" t="str">
        <x:v>Dependencies</x:v>
      </x:c>
      <x:c r="L38" s="36" t="str">
        <x:v>Platform</x:v>
      </x:c>
      <x:c r="M38" s="36" t="str">
        <x:v>docs/product/RECHARGE_BACKEND_DELIVERY_MAP.md</x:v>
      </x:c>
      <x:c r="N38" s="45"/>
      <x:c r="O38" s="48" t="n">
        <x:f>IF(B38="","",AVERAGE(IFERROR(VLOOKUP(D38,'Справочники'!$A$5:$B$14,2,FALSE),0),IFERROR(VLOOKUP(E38,'Справочники'!$D$5:$E$12,2,FALSE),0),IFERROR(VLOOKUP(F38,'Справочники'!$G$5:$H$12,2,FALSE),0),IFERROR(VLOOKUP(G38,'Справочники'!$J$5:$K$12,2,FALSE),0)))</x:f>
        <x:v>0.25</x:v>
      </x:c>
      <x:c r="P38" s="36" t="str"/>
    </x:row>
    <x:row r="39" ht="44" customHeight="1">
      <x:c r="A39" s="39" t="str">
        <x:v>R8</x:v>
      </x:c>
      <x:c r="B39" s="36" t="str">
        <x:v>Reviews/Trust &amp; Safety</x:v>
      </x:c>
      <x:c r="C39" s="36" t="str">
        <x:v>Backend wave</x:v>
      </x:c>
      <x:c r="D39" s="42" t="str">
        <x:v>План</x:v>
      </x:c>
      <x:c r="E39" s="42" t="str">
        <x:v>Approved</x:v>
      </x:c>
      <x:c r="F39" s="42" t="str">
        <x:v>Отсутствует</x:v>
      </x:c>
      <x:c r="G39" s="42" t="str">
        <x:v>Не запускались</x:v>
      </x:c>
      <x:c r="H39" s="42" t="str">
        <x:v>R7 + gate</x:v>
      </x:c>
      <x:c r="I39" s="42" t="str">
        <x:v>P1</x:v>
      </x:c>
      <x:c r="J39" s="36" t="str">
        <x:v>Выполнить entry/exit evidence</x:v>
      </x:c>
      <x:c r="K39" s="36" t="str">
        <x:v>Dependencies</x:v>
      </x:c>
      <x:c r="L39" s="36" t="str">
        <x:v>Platform</x:v>
      </x:c>
      <x:c r="M39" s="36" t="str">
        <x:v>docs/product/RECHARGE_BACKEND_DELIVERY_MAP.md</x:v>
      </x:c>
      <x:c r="N39" s="45"/>
      <x:c r="O39" s="48" t="n">
        <x:f>IF(B39="","",AVERAGE(IFERROR(VLOOKUP(D39,'Справочники'!$A$5:$B$14,2,FALSE),0),IFERROR(VLOOKUP(E39,'Справочники'!$D$5:$E$12,2,FALSE),0),IFERROR(VLOOKUP(F39,'Справочники'!$G$5:$H$12,2,FALSE),0),IFERROR(VLOOKUP(G39,'Справочники'!$J$5:$K$12,2,FALSE),0)))</x:f>
        <x:v>0.25</x:v>
      </x:c>
      <x:c r="P39" s="36" t="str"/>
    </x:row>
    <x:row r="40" ht="44" customHeight="1">
      <x:c r="A40" s="39" t="str">
        <x:v>R9</x:v>
      </x:c>
      <x:c r="B40" s="36" t="str">
        <x:v>Provider/AI</x:v>
      </x:c>
      <x:c r="C40" s="36" t="str">
        <x:v>Backend wave</x:v>
      </x:c>
      <x:c r="D40" s="42" t="str">
        <x:v>План</x:v>
      </x:c>
      <x:c r="E40" s="42" t="str">
        <x:v>Approved</x:v>
      </x:c>
      <x:c r="F40" s="42" t="str">
        <x:v>Отсутствует</x:v>
      </x:c>
      <x:c r="G40" s="42" t="str">
        <x:v>Не запускались</x:v>
      </x:c>
      <x:c r="H40" s="42" t="str">
        <x:v>R8 + gate</x:v>
      </x:c>
      <x:c r="I40" s="42" t="str">
        <x:v>P2</x:v>
      </x:c>
      <x:c r="J40" s="36" t="str">
        <x:v>Выполнить entry/exit evidence</x:v>
      </x:c>
      <x:c r="K40" s="36" t="str">
        <x:v>Dependencies</x:v>
      </x:c>
      <x:c r="L40" s="36" t="str">
        <x:v>Platform</x:v>
      </x:c>
      <x:c r="M40" s="36" t="str">
        <x:v>docs/product/RECHARGE_BACKEND_DELIVERY_MAP.md</x:v>
      </x:c>
      <x:c r="N40" s="45"/>
      <x:c r="O40" s="48" t="n">
        <x:f>IF(B40="","",AVERAGE(IFERROR(VLOOKUP(D40,'Справочники'!$A$5:$B$14,2,FALSE),0),IFERROR(VLOOKUP(E40,'Справочники'!$D$5:$E$12,2,FALSE),0),IFERROR(VLOOKUP(F40,'Справочники'!$G$5:$H$12,2,FALSE),0),IFERROR(VLOOKUP(G40,'Справочники'!$J$5:$K$12,2,FALSE),0)))</x:f>
        <x:v>0.25</x:v>
      </x:c>
      <x:c r="P40" s="36" t="str"/>
    </x:row>
    <x:row r="41" ht="44" customHeight="1">
      <x:c r="A41" s="39" t="str">
        <x:v>R10</x:v>
      </x:c>
      <x:c r="B41" s="36" t="str">
        <x:v>Payments</x:v>
      </x:c>
      <x:c r="C41" s="36" t="str">
        <x:v>Backend wave</x:v>
      </x:c>
      <x:c r="D41" s="42" t="str">
        <x:v>План</x:v>
      </x:c>
      <x:c r="E41" s="42" t="str">
        <x:v>Approved</x:v>
      </x:c>
      <x:c r="F41" s="42" t="str">
        <x:v>Отсутствует</x:v>
      </x:c>
      <x:c r="G41" s="42" t="str">
        <x:v>Не запускались</x:v>
      </x:c>
      <x:c r="H41" s="42" t="str">
        <x:v>R9 + gate</x:v>
      </x:c>
      <x:c r="I41" s="42" t="str">
        <x:v>P2</x:v>
      </x:c>
      <x:c r="J41" s="36" t="str">
        <x:v>Выполнить entry/exit evidence</x:v>
      </x:c>
      <x:c r="K41" s="36" t="str">
        <x:v>Dependencies</x:v>
      </x:c>
      <x:c r="L41" s="36" t="str">
        <x:v>Platform</x:v>
      </x:c>
      <x:c r="M41" s="36" t="str">
        <x:v>docs/product/RECHARGE_BACKEND_DELIVERY_MAP.md</x:v>
      </x:c>
      <x:c r="N41" s="45"/>
      <x:c r="O41" s="48" t="n">
        <x:f>IF(B41="","",AVERAGE(IFERROR(VLOOKUP(D41,'Справочники'!$A$5:$B$14,2,FALSE),0),IFERROR(VLOOKUP(E41,'Справочники'!$D$5:$E$12,2,FALSE),0),IFERROR(VLOOKUP(F41,'Справочники'!$G$5:$H$12,2,FALSE),0),IFERROR(VLOOKUP(G41,'Справочники'!$J$5:$K$12,2,FALSE),0)))</x:f>
        <x:v>0.25</x:v>
      </x:c>
      <x:c r="P41" s="36" t="str"/>
    </x:row>
    <x:row r="42" ht="44" customHeight="1">
      <x:c r="A42" s="39" t="str">
        <x:v>R11</x:v>
      </x:c>
      <x:c r="B42" s="36" t="str">
        <x:v>Production cohort</x:v>
      </x:c>
      <x:c r="C42" s="36" t="str">
        <x:v>Backend wave</x:v>
      </x:c>
      <x:c r="D42" s="42" t="str">
        <x:v>План</x:v>
      </x:c>
      <x:c r="E42" s="42" t="str">
        <x:v>Approved</x:v>
      </x:c>
      <x:c r="F42" s="42" t="str">
        <x:v>Отсутствует</x:v>
      </x:c>
      <x:c r="G42" s="42" t="str">
        <x:v>Не запускались</x:v>
      </x:c>
      <x:c r="H42" s="42" t="str">
        <x:v>R10 + gate</x:v>
      </x:c>
      <x:c r="I42" s="42" t="str">
        <x:v>P2</x:v>
      </x:c>
      <x:c r="J42" s="36" t="str">
        <x:v>Выполнить entry/exit evidence</x:v>
      </x:c>
      <x:c r="K42" s="36" t="str">
        <x:v>Dependencies</x:v>
      </x:c>
      <x:c r="L42" s="36" t="str">
        <x:v>Platform</x:v>
      </x:c>
      <x:c r="M42" s="36" t="str">
        <x:v>docs/product/RECHARGE_BACKEND_DELIVERY_MAP.md</x:v>
      </x:c>
      <x:c r="N42" s="45"/>
      <x:c r="O42" s="48" t="n">
        <x:f>IF(B42="","",AVERAGE(IFERROR(VLOOKUP(D42,'Справочники'!$A$5:$B$14,2,FALSE),0),IFERROR(VLOOKUP(E42,'Справочники'!$D$5:$E$12,2,FALSE),0),IFERROR(VLOOKUP(F42,'Справочники'!$G$5:$H$12,2,FALSE),0),IFERROR(VLOOKUP(G42,'Справочники'!$J$5:$K$12,2,FALSE),0)))</x:f>
        <x:v>0.25</x:v>
      </x:c>
      <x:c r="P42" s="36" t="str"/>
    </x:row>
    <x:row r="43" ht="44" customHeight="1">
      <x:c r="A43" s="39" t="str">
        <x:v>R12</x:v>
      </x:c>
      <x:c r="B43" s="36" t="str">
        <x:v>General Availability</x:v>
      </x:c>
      <x:c r="C43" s="36" t="str">
        <x:v>Backend wave</x:v>
      </x:c>
      <x:c r="D43" s="42" t="str">
        <x:v>План</x:v>
      </x:c>
      <x:c r="E43" s="42" t="str">
        <x:v>Approved</x:v>
      </x:c>
      <x:c r="F43" s="42" t="str">
        <x:v>Отсутствует</x:v>
      </x:c>
      <x:c r="G43" s="42" t="str">
        <x:v>Не запускались</x:v>
      </x:c>
      <x:c r="H43" s="42" t="str">
        <x:v>R11 + gate</x:v>
      </x:c>
      <x:c r="I43" s="42" t="str">
        <x:v>P2</x:v>
      </x:c>
      <x:c r="J43" s="36" t="str">
        <x:v>Выполнить entry/exit evidence</x:v>
      </x:c>
      <x:c r="K43" s="36" t="str">
        <x:v>Dependencies</x:v>
      </x:c>
      <x:c r="L43" s="36" t="str">
        <x:v>Platform</x:v>
      </x:c>
      <x:c r="M43" s="36" t="str">
        <x:v>docs/product/RECHARGE_BACKEND_DELIVERY_MAP.md</x:v>
      </x:c>
      <x:c r="N43" s="45"/>
      <x:c r="O43" s="48" t="n">
        <x:f>IF(B43="","",AVERAGE(IFERROR(VLOOKUP(D43,'Справочники'!$A$5:$B$14,2,FALSE),0),IFERROR(VLOOKUP(E43,'Справочники'!$D$5:$E$12,2,FALSE),0),IFERROR(VLOOKUP(F43,'Справочники'!$G$5:$H$12,2,FALSE),0),IFERROR(VLOOKUP(G43,'Справочники'!$J$5:$K$12,2,FALSE),0)))</x:f>
        <x:v>0.25</x:v>
      </x:c>
      <x:c r="P43" s="36" t="str"/>
    </x:row>
    <x:row r="44" ht="44" customHeight="1">
      <x:c r="A44" s="39" t="str">
        <x:v>G0</x:v>
      </x:c>
      <x:c r="B44" s="36" t="str">
        <x:v>Map accepted</x:v>
      </x:c>
      <x:c r="C44" s="36" t="str">
        <x:v>Backend gate</x:v>
      </x:c>
      <x:c r="D44" s="42" t="str">
        <x:v>Готово</x:v>
      </x:c>
      <x:c r="E44" s="42" t="str">
        <x:v>Approved</x:v>
      </x:c>
      <x:c r="F44" s="42" t="str">
        <x:v>Не требуется</x:v>
      </x:c>
      <x:c r="G44" s="42" t="str">
        <x:v>Текущие зелёные</x:v>
      </x:c>
      <x:c r="H44" s="42" t="str">
        <x:v>Passed</x:v>
      </x:c>
      <x:c r="I44" s="42" t="str">
        <x:v>P0</x:v>
      </x:c>
      <x:c r="J44" s="36" t="str">
        <x:v>Поддерживать registry checksum</x:v>
      </x:c>
      <x:c r="K44" s="36" t="str"/>
      <x:c r="L44" s="36" t="str">
        <x:v>Architecture owner</x:v>
      </x:c>
      <x:c r="M44" s="36" t="str">
        <x:v>docs/product/RECHARGE_BACKEND_DELIVERY_MAP.md</x:v>
      </x:c>
      <x:c r="N44" s="45" t="n">
        <x:v>46250</x:v>
      </x:c>
      <x:c r="O44" s="48" t="n">
        <x:f>IF(B44="","",AVERAGE(IFERROR(VLOOKUP(D44,'Справочники'!$A$5:$B$14,2,FALSE),0),IFERROR(VLOOKUP(E44,'Справочники'!$D$5:$E$12,2,FALSE),0),IFERROR(VLOOKUP(F44,'Справочники'!$G$5:$H$12,2,FALSE),0),IFERROR(VLOOKUP(G44,'Справочники'!$J$5:$K$12,2,FALSE),0)))</x:f>
        <x:v>0.975</x:v>
      </x:c>
      <x:c r="P44" s="36" t="str"/>
    </x:row>
    <x:row r="45" ht="44" customHeight="1">
      <x:c r="A45" s="39" t="str">
        <x:v>G1</x:v>
      </x:c>
      <x:c r="B45" s="36" t="str">
        <x:v>Platform design accepted</x:v>
      </x:c>
      <x:c r="C45" s="36" t="str">
        <x:v>Backend gate</x:v>
      </x:c>
      <x:c r="D45" s="42" t="str">
        <x:v>План</x:v>
      </x:c>
      <x:c r="E45" s="42" t="str">
        <x:v>Approved</x:v>
      </x:c>
      <x:c r="F45" s="42" t="str">
        <x:v>Не требуется</x:v>
      </x:c>
      <x:c r="G45" s="42" t="str">
        <x:v>Не запускались</x:v>
      </x:c>
      <x:c r="H45" s="42" t="str">
        <x:v>Not authorized</x:v>
      </x:c>
      <x:c r="I45" s="42" t="str">
        <x:v>P0</x:v>
      </x:c>
      <x:c r="J45" s="36" t="str">
        <x:v>Закрыть gate evidence</x:v>
      </x:c>
      <x:c r="K45" s="36" t="str">
        <x:v>Upstream BCK/OD</x:v>
      </x:c>
      <x:c r="L45" s="36" t="str">
        <x:v>Architecture owner</x:v>
      </x:c>
      <x:c r="M45" s="36" t="str">
        <x:v>docs/product/RECHARGE_BACKEND_DELIVERY_MAP.md</x:v>
      </x:c>
      <x:c r="N45" s="45"/>
      <x:c r="O45" s="48" t="n">
        <x:f>IF(B45="","",AVERAGE(IFERROR(VLOOKUP(D45,'Справочники'!$A$5:$B$14,2,FALSE),0),IFERROR(VLOOKUP(E45,'Справочники'!$D$5:$E$12,2,FALSE),0),IFERROR(VLOOKUP(F45,'Справочники'!$G$5:$H$12,2,FALSE),0),IFERROR(VLOOKUP(G45,'Справочники'!$J$5:$K$12,2,FALSE),0)))</x:f>
        <x:v>0.5</x:v>
      </x:c>
      <x:c r="P45" s="36" t="str"/>
    </x:row>
    <x:row r="46" ht="44" customHeight="1">
      <x:c r="A46" s="39" t="str">
        <x:v>G2</x:v>
      </x:c>
      <x:c r="B46" s="36" t="str">
        <x:v>Identity/mobile boundary ready</x:v>
      </x:c>
      <x:c r="C46" s="36" t="str">
        <x:v>Backend gate</x:v>
      </x:c>
      <x:c r="D46" s="42" t="str">
        <x:v>План</x:v>
      </x:c>
      <x:c r="E46" s="42" t="str">
        <x:v>Approved</x:v>
      </x:c>
      <x:c r="F46" s="42" t="str">
        <x:v>Не требуется</x:v>
      </x:c>
      <x:c r="G46" s="42" t="str">
        <x:v>Не запускались</x:v>
      </x:c>
      <x:c r="H46" s="42" t="str">
        <x:v>Not authorized</x:v>
      </x:c>
      <x:c r="I46" s="42" t="str">
        <x:v>P0</x:v>
      </x:c>
      <x:c r="J46" s="36" t="str">
        <x:v>Закрыть gate evidence</x:v>
      </x:c>
      <x:c r="K46" s="36" t="str">
        <x:v>Upstream BCK/OD</x:v>
      </x:c>
      <x:c r="L46" s="36" t="str">
        <x:v>Architecture owner</x:v>
      </x:c>
      <x:c r="M46" s="36" t="str">
        <x:v>docs/product/RECHARGE_BACKEND_DELIVERY_MAP.md</x:v>
      </x:c>
      <x:c r="N46" s="45"/>
      <x:c r="O46" s="48" t="n">
        <x:f>IF(B46="","",AVERAGE(IFERROR(VLOOKUP(D46,'Справочники'!$A$5:$B$14,2,FALSE),0),IFERROR(VLOOKUP(E46,'Справочники'!$D$5:$E$12,2,FALSE),0),IFERROR(VLOOKUP(F46,'Справочники'!$G$5:$H$12,2,FALSE),0),IFERROR(VLOOKUP(G46,'Справочники'!$J$5:$K$12,2,FALSE),0)))</x:f>
        <x:v>0.5</x:v>
      </x:c>
      <x:c r="P46" s="36" t="str"/>
    </x:row>
    <x:row r="47" ht="44" customHeight="1">
      <x:c r="A47" s="39" t="str">
        <x:v>G3</x:v>
      </x:c>
      <x:c r="B47" s="36" t="str">
        <x:v>Content/catalog contract ready</x:v>
      </x:c>
      <x:c r="C47" s="36" t="str">
        <x:v>Backend gate</x:v>
      </x:c>
      <x:c r="D47" s="42" t="str">
        <x:v>План</x:v>
      </x:c>
      <x:c r="E47" s="42" t="str">
        <x:v>Approved</x:v>
      </x:c>
      <x:c r="F47" s="42" t="str">
        <x:v>Не требуется</x:v>
      </x:c>
      <x:c r="G47" s="42" t="str">
        <x:v>Не запускались</x:v>
      </x:c>
      <x:c r="H47" s="42" t="str">
        <x:v>Not authorized</x:v>
      </x:c>
      <x:c r="I47" s="42" t="str">
        <x:v>P0</x:v>
      </x:c>
      <x:c r="J47" s="36" t="str">
        <x:v>Закрыть gate evidence</x:v>
      </x:c>
      <x:c r="K47" s="36" t="str">
        <x:v>Upstream BCK/OD</x:v>
      </x:c>
      <x:c r="L47" s="36" t="str">
        <x:v>Architecture owner</x:v>
      </x:c>
      <x:c r="M47" s="36" t="str">
        <x:v>docs/product/RECHARGE_BACKEND_DELIVERY_MAP.md</x:v>
      </x:c>
      <x:c r="N47" s="45"/>
      <x:c r="O47" s="48" t="n">
        <x:f>IF(B47="","",AVERAGE(IFERROR(VLOOKUP(D47,'Справочники'!$A$5:$B$14,2,FALSE),0),IFERROR(VLOOKUP(E47,'Справочники'!$D$5:$E$12,2,FALSE),0),IFERROR(VLOOKUP(F47,'Справочники'!$G$5:$H$12,2,FALSE),0),IFERROR(VLOOKUP(G47,'Справочники'!$J$5:$K$12,2,FALSE),0)))</x:f>
        <x:v>0.5</x:v>
      </x:c>
      <x:c r="P47" s="36" t="str"/>
    </x:row>
    <x:row r="48" ht="44" customHeight="1">
      <x:c r="A48" s="39" t="str">
        <x:v>G4</x:v>
      </x:c>
      <x:c r="B48" s="36" t="str">
        <x:v>Booking emulator ready</x:v>
      </x:c>
      <x:c r="C48" s="36" t="str">
        <x:v>Backend gate</x:v>
      </x:c>
      <x:c r="D48" s="42" t="str">
        <x:v>План</x:v>
      </x:c>
      <x:c r="E48" s="42" t="str">
        <x:v>Approved</x:v>
      </x:c>
      <x:c r="F48" s="42" t="str">
        <x:v>Не требуется</x:v>
      </x:c>
      <x:c r="G48" s="42" t="str">
        <x:v>Не запускались</x:v>
      </x:c>
      <x:c r="H48" s="42" t="str">
        <x:v>Not authorized</x:v>
      </x:c>
      <x:c r="I48" s="42" t="str">
        <x:v>P0</x:v>
      </x:c>
      <x:c r="J48" s="36" t="str">
        <x:v>Закрыть gate evidence</x:v>
      </x:c>
      <x:c r="K48" s="36" t="str">
        <x:v>Upstream BCK/OD</x:v>
      </x:c>
      <x:c r="L48" s="36" t="str">
        <x:v>Architecture owner</x:v>
      </x:c>
      <x:c r="M48" s="36" t="str">
        <x:v>docs/product/RECHARGE_BACKEND_DELIVERY_MAP.md</x:v>
      </x:c>
      <x:c r="N48" s="45"/>
      <x:c r="O48" s="48" t="n">
        <x:f>IF(B48="","",AVERAGE(IFERROR(VLOOKUP(D48,'Справочники'!$A$5:$B$14,2,FALSE),0),IFERROR(VLOOKUP(E48,'Справочники'!$D$5:$E$12,2,FALSE),0),IFERROR(VLOOKUP(F48,'Справочники'!$G$5:$H$12,2,FALSE),0),IFERROR(VLOOKUP(G48,'Справочники'!$J$5:$K$12,2,FALSE),0)))</x:f>
        <x:v>0.5</x:v>
      </x:c>
      <x:c r="P48" s="36" t="str"/>
    </x:row>
    <x:row r="49" ht="44" customHeight="1">
      <x:c r="A49" s="39" t="str">
        <x:v>G5</x:v>
      </x:c>
      <x:c r="B49" s="36" t="str">
        <x:v>Staging mutations ready</x:v>
      </x:c>
      <x:c r="C49" s="36" t="str">
        <x:v>Backend gate</x:v>
      </x:c>
      <x:c r="D49" s="42" t="str">
        <x:v>План</x:v>
      </x:c>
      <x:c r="E49" s="42" t="str">
        <x:v>Approved</x:v>
      </x:c>
      <x:c r="F49" s="42" t="str">
        <x:v>Не требуется</x:v>
      </x:c>
      <x:c r="G49" s="42" t="str">
        <x:v>Не запускались</x:v>
      </x:c>
      <x:c r="H49" s="42" t="str">
        <x:v>Not authorized</x:v>
      </x:c>
      <x:c r="I49" s="42" t="str">
        <x:v>P1</x:v>
      </x:c>
      <x:c r="J49" s="36" t="str">
        <x:v>Закрыть gate evidence</x:v>
      </x:c>
      <x:c r="K49" s="36" t="str">
        <x:v>Upstream BCK/OD</x:v>
      </x:c>
      <x:c r="L49" s="36" t="str">
        <x:v>Architecture owner</x:v>
      </x:c>
      <x:c r="M49" s="36" t="str">
        <x:v>docs/product/RECHARGE_BACKEND_DELIVERY_MAP.md</x:v>
      </x:c>
      <x:c r="N49" s="45"/>
      <x:c r="O49" s="48" t="n">
        <x:f>IF(B49="","",AVERAGE(IFERROR(VLOOKUP(D49,'Справочники'!$A$5:$B$14,2,FALSE),0),IFERROR(VLOOKUP(E49,'Справочники'!$D$5:$E$12,2,FALSE),0),IFERROR(VLOOKUP(F49,'Справочники'!$G$5:$H$12,2,FALSE),0),IFERROR(VLOOKUP(G49,'Справочники'!$J$5:$K$12,2,FALSE),0)))</x:f>
        <x:v>0.5</x:v>
      </x:c>
      <x:c r="P49" s="36" t="str"/>
    </x:row>
    <x:row r="50" ht="44" customHeight="1">
      <x:c r="A50" s="39" t="str">
        <x:v>G6</x:v>
      </x:c>
      <x:c r="B50" s="36" t="str">
        <x:v>Production cohort ready</x:v>
      </x:c>
      <x:c r="C50" s="36" t="str">
        <x:v>Backend gate</x:v>
      </x:c>
      <x:c r="D50" s="42" t="str">
        <x:v>План</x:v>
      </x:c>
      <x:c r="E50" s="42" t="str">
        <x:v>Approved</x:v>
      </x:c>
      <x:c r="F50" s="42" t="str">
        <x:v>Не требуется</x:v>
      </x:c>
      <x:c r="G50" s="42" t="str">
        <x:v>Не запускались</x:v>
      </x:c>
      <x:c r="H50" s="42" t="str">
        <x:v>Not authorized</x:v>
      </x:c>
      <x:c r="I50" s="42" t="str">
        <x:v>P1</x:v>
      </x:c>
      <x:c r="J50" s="36" t="str">
        <x:v>Закрыть gate evidence</x:v>
      </x:c>
      <x:c r="K50" s="36" t="str">
        <x:v>Upstream BCK/OD</x:v>
      </x:c>
      <x:c r="L50" s="36" t="str">
        <x:v>Architecture owner</x:v>
      </x:c>
      <x:c r="M50" s="36" t="str">
        <x:v>docs/product/RECHARGE_BACKEND_DELIVERY_MAP.md</x:v>
      </x:c>
      <x:c r="N50" s="45"/>
      <x:c r="O50" s="48" t="n">
        <x:f>IF(B50="","",AVERAGE(IFERROR(VLOOKUP(D50,'Справочники'!$A$5:$B$14,2,FALSE),0),IFERROR(VLOOKUP(E50,'Справочники'!$D$5:$E$12,2,FALSE),0),IFERROR(VLOOKUP(F50,'Справочники'!$G$5:$H$12,2,FALSE),0),IFERROR(VLOOKUP(G50,'Справочники'!$J$5:$K$12,2,FALSE),0)))</x:f>
        <x:v>0.5</x:v>
      </x:c>
      <x:c r="P50" s="36" t="str"/>
    </x:row>
    <x:row r="51" ht="44" customHeight="1">
      <x:c r="A51" s="39" t="str">
        <x:v>G7</x:v>
      </x:c>
      <x:c r="B51" s="36" t="str">
        <x:v>GA ready</x:v>
      </x:c>
      <x:c r="C51" s="36" t="str">
        <x:v>Backend gate</x:v>
      </x:c>
      <x:c r="D51" s="42" t="str">
        <x:v>План</x:v>
      </x:c>
      <x:c r="E51" s="42" t="str">
        <x:v>Approved</x:v>
      </x:c>
      <x:c r="F51" s="42" t="str">
        <x:v>Не требуется</x:v>
      </x:c>
      <x:c r="G51" s="42" t="str">
        <x:v>Не запускались</x:v>
      </x:c>
      <x:c r="H51" s="42" t="str">
        <x:v>Not authorized</x:v>
      </x:c>
      <x:c r="I51" s="42" t="str">
        <x:v>P1</x:v>
      </x:c>
      <x:c r="J51" s="36" t="str">
        <x:v>Закрыть gate evidence</x:v>
      </x:c>
      <x:c r="K51" s="36" t="str">
        <x:v>Upstream BCK/OD</x:v>
      </x:c>
      <x:c r="L51" s="36" t="str">
        <x:v>Architecture owner</x:v>
      </x:c>
      <x:c r="M51" s="36" t="str">
        <x:v>docs/product/RECHARGE_BACKEND_DELIVERY_MAP.md</x:v>
      </x:c>
      <x:c r="N51" s="45"/>
      <x:c r="O51" s="48" t="n">
        <x:f>IF(B51="","",AVERAGE(IFERROR(VLOOKUP(D51,'Справочники'!$A$5:$B$14,2,FALSE),0),IFERROR(VLOOKUP(E51,'Справочники'!$D$5:$E$12,2,FALSE),0),IFERROR(VLOOKUP(F51,'Справочники'!$G$5:$H$12,2,FALSE),0),IFERROR(VLOOKUP(G51,'Справочники'!$J$5:$K$12,2,FALSE),0)))</x:f>
        <x:v>0.5</x:v>
      </x:c>
      <x:c r="P51" s="36" t="str"/>
    </x:row>
    <x:row r="52" ht="44" customHeight="1">
      <x:c r="A52" s="39" t="str">
        <x:v>OD-01</x:v>
      </x:c>
      <x:c r="B52" s="36" t="str">
        <x:v>Search/geo architecture</x:v>
      </x:c>
      <x:c r="C52" s="36" t="str">
        <x:v>Open decision</x:v>
      </x:c>
      <x:c r="D52" s="42" t="str">
        <x:v>План</x:v>
      </x:c>
      <x:c r="E52" s="42" t="str">
        <x:v>Approved</x:v>
      </x:c>
      <x:c r="F52" s="42" t="str">
        <x:v>Не требуется</x:v>
      </x:c>
      <x:c r="G52" s="42" t="str">
        <x:v>Не запускались</x:v>
      </x:c>
      <x:c r="H52" s="42" t="str">
        <x:v>G3 / search runtime</x:v>
      </x:c>
      <x:c r="I52" s="42" t="str">
        <x:v>P1</x:v>
      </x:c>
      <x:c r="J52" s="36" t="str">
        <x:v>Owner decision + acceptance evidence</x:v>
      </x:c>
      <x:c r="K52" s="36" t="str">
        <x:v>Open</x:v>
      </x:c>
      <x:c r="L52" s="36" t="str">
        <x:v>Discover</x:v>
      </x:c>
      <x:c r="M52" s="36" t="str">
        <x:v>docs/product/RECHARGE_BACKEND_DELIVERY_MAP.md</x:v>
      </x:c>
      <x:c r="N52" s="45" t="n">
        <x:v>46250.5</x:v>
      </x:c>
      <x:c r="O52" s="48" t="n">
        <x:f>IF(B52="","",AVERAGE(IFERROR(VLOOKUP(D52,'Справочники'!$A$5:$B$14,2,FALSE),0),IFERROR(VLOOKUP(E52,'Справочники'!$D$5:$E$12,2,FALSE),0),IFERROR(VLOOKUP(F52,'Справочники'!$G$5:$H$12,2,FALSE),0),IFERROR(VLOOKUP(G52,'Справочники'!$J$5:$K$12,2,FALSE),0)))</x:f>
        <x:v>0.5</x:v>
      </x:c>
      <x:c r="P52" s="36" t="str"/>
    </x:row>
    <x:row r="53" ht="44" customHeight="1">
      <x:c r="A53" s="39" t="str">
        <x:v>OD-02</x:v>
      </x:c>
      <x:c r="B53" s="36" t="str">
        <x:v>Transactional email</x:v>
      </x:c>
      <x:c r="C53" s="36" t="str">
        <x:v>Open decision</x:v>
      </x:c>
      <x:c r="D53" s="42" t="str">
        <x:v>План</x:v>
      </x:c>
      <x:c r="E53" s="42" t="str">
        <x:v>Approved</x:v>
      </x:c>
      <x:c r="F53" s="42" t="str">
        <x:v>Не требуется</x:v>
      </x:c>
      <x:c r="G53" s="42" t="str">
        <x:v>Не запускались</x:v>
      </x:c>
      <x:c r="H53" s="42" t="str">
        <x:v>Email enablement</x:v>
      </x:c>
      <x:c r="I53" s="42" t="str">
        <x:v>P1</x:v>
      </x:c>
      <x:c r="J53" s="36" t="str">
        <x:v>Owner decision + acceptance evidence</x:v>
      </x:c>
      <x:c r="K53" s="36" t="str">
        <x:v>Open</x:v>
      </x:c>
      <x:c r="L53" s="36" t="str">
        <x:v>Notifications</x:v>
      </x:c>
      <x:c r="M53" s="36" t="str">
        <x:v>docs/product/RECHARGE_BACKEND_DELIVERY_MAP.md</x:v>
      </x:c>
      <x:c r="N53" s="45" t="n">
        <x:v>46250.5</x:v>
      </x:c>
      <x:c r="O53" s="48" t="n">
        <x:f>IF(B53="","",AVERAGE(IFERROR(VLOOKUP(D53,'Справочники'!$A$5:$B$14,2,FALSE),0),IFERROR(VLOOKUP(E53,'Справочники'!$D$5:$E$12,2,FALSE),0),IFERROR(VLOOKUP(F53,'Справочники'!$G$5:$H$12,2,FALSE),0),IFERROR(VLOOKUP(G53,'Справочники'!$J$5:$K$12,2,FALSE),0)))</x:f>
        <x:v>0.5</x:v>
      </x:c>
      <x:c r="P53" s="36" t="str"/>
    </x:row>
    <x:row r="54" ht="44" customHeight="1">
      <x:c r="A54" s="39" t="str">
        <x:v>OD-03</x:v>
      </x:c>
      <x:c r="B54" s="36" t="str">
        <x:v>Cold-start catalog provenance</x:v>
      </x:c>
      <x:c r="C54" s="36" t="str">
        <x:v>Open decision</x:v>
      </x:c>
      <x:c r="D54" s="42" t="str">
        <x:v>План</x:v>
      </x:c>
      <x:c r="E54" s="42" t="str">
        <x:v>Approved</x:v>
      </x:c>
      <x:c r="F54" s="42" t="str">
        <x:v>Не требуется</x:v>
      </x:c>
      <x:c r="G54" s="42" t="str">
        <x:v>Не запускались</x:v>
      </x:c>
      <x:c r="H54" s="42" t="str">
        <x:v>G3 catalog</x:v>
      </x:c>
      <x:c r="I54" s="42" t="str">
        <x:v>P1</x:v>
      </x:c>
      <x:c r="J54" s="36" t="str">
        <x:v>Owner decision + acceptance evidence</x:v>
      </x:c>
      <x:c r="K54" s="36" t="str">
        <x:v>Open</x:v>
      </x:c>
      <x:c r="L54" s="36" t="str">
        <x:v>Content</x:v>
      </x:c>
      <x:c r="M54" s="36" t="str">
        <x:v>docs/product/RECHARGE_BACKEND_DELIVERY_MAP.md</x:v>
      </x:c>
      <x:c r="N54" s="45" t="n">
        <x:v>46250.5</x:v>
      </x:c>
      <x:c r="O54" s="48" t="n">
        <x:f>IF(B54="","",AVERAGE(IFERROR(VLOOKUP(D54,'Справочники'!$A$5:$B$14,2,FALSE),0),IFERROR(VLOOKUP(E54,'Справочники'!$D$5:$E$12,2,FALSE),0),IFERROR(VLOOKUP(F54,'Справочники'!$G$5:$H$12,2,FALSE),0),IFERROR(VLOOKUP(G54,'Справочники'!$J$5:$K$12,2,FALSE),0)))</x:f>
        <x:v>0.5</x:v>
      </x:c>
      <x:c r="P54" s="36" t="str"/>
    </x:row>
    <x:row r="55" ht="44" customHeight="1">
      <x:c r="A55" s="39" t="str">
        <x:v>OD-04</x:v>
      </x:c>
      <x:c r="B55" s="36" t="str">
        <x:v>Import identity/conflict/rollback</x:v>
      </x:c>
      <x:c r="C55" s="36" t="str">
        <x:v>Open decision</x:v>
      </x:c>
      <x:c r="D55" s="42" t="str">
        <x:v>План</x:v>
      </x:c>
      <x:c r="E55" s="42" t="str">
        <x:v>Approved</x:v>
      </x:c>
      <x:c r="F55" s="42" t="str">
        <x:v>Не требуется</x:v>
      </x:c>
      <x:c r="G55" s="42" t="str">
        <x:v>Не запускались</x:v>
      </x:c>
      <x:c r="H55" s="42" t="str">
        <x:v>Any cloud migration</x:v>
      </x:c>
      <x:c r="I55" s="42" t="str">
        <x:v>P1</x:v>
      </x:c>
      <x:c r="J55" s="36" t="str">
        <x:v>Owner decision + acceptance evidence</x:v>
      </x:c>
      <x:c r="K55" s="36" t="str">
        <x:v>Open</x:v>
      </x:c>
      <x:c r="L55" s="36" t="str">
        <x:v>Mobile Platform</x:v>
      </x:c>
      <x:c r="M55" s="36" t="str">
        <x:v>docs/product/RECHARGE_BACKEND_DELIVERY_MAP.md</x:v>
      </x:c>
      <x:c r="N55" s="45" t="n">
        <x:v>46250.5</x:v>
      </x:c>
      <x:c r="O55" s="48" t="n">
        <x:f>IF(B55="","",AVERAGE(IFERROR(VLOOKUP(D55,'Справочники'!$A$5:$B$14,2,FALSE),0),IFERROR(VLOOKUP(E55,'Справочники'!$D$5:$E$12,2,FALSE),0),IFERROR(VLOOKUP(F55,'Справочники'!$G$5:$H$12,2,FALSE),0),IFERROR(VLOOKUP(G55,'Справочники'!$J$5:$K$12,2,FALSE),0)))</x:f>
        <x:v>0.5</x:v>
      </x:c>
      <x:c r="P55" s="36" t="str"/>
    </x:row>
    <x:row r="56" ht="44" customHeight="1">
      <x:c r="A56" s="39" t="str">
        <x:v>OD-05</x:v>
      </x:c>
      <x:c r="B56" s="36" t="str">
        <x:v>Analytics transport/privacy</x:v>
      </x:c>
      <x:c r="C56" s="36" t="str">
        <x:v>Open decision</x:v>
      </x:c>
      <x:c r="D56" s="42" t="str">
        <x:v>План</x:v>
      </x:c>
      <x:c r="E56" s="42" t="str">
        <x:v>Approved</x:v>
      </x:c>
      <x:c r="F56" s="42" t="str">
        <x:v>Не требуется</x:v>
      </x:c>
      <x:c r="G56" s="42" t="str">
        <x:v>Не запускались</x:v>
      </x:c>
      <x:c r="H56" s="42" t="str">
        <x:v>Analytics enablement</x:v>
      </x:c>
      <x:c r="I56" s="42" t="str">
        <x:v>P1</x:v>
      </x:c>
      <x:c r="J56" s="36" t="str">
        <x:v>Owner decision + acceptance evidence</x:v>
      </x:c>
      <x:c r="K56" s="36" t="str">
        <x:v>Open</x:v>
      </x:c>
      <x:c r="L56" s="36" t="str">
        <x:v>Data Platform</x:v>
      </x:c>
      <x:c r="M56" s="36" t="str">
        <x:v>docs/product/RECHARGE_BACKEND_DELIVERY_MAP.md</x:v>
      </x:c>
      <x:c r="N56" s="45" t="n">
        <x:v>46250.5</x:v>
      </x:c>
      <x:c r="O56" s="48" t="n">
        <x:f>IF(B56="","",AVERAGE(IFERROR(VLOOKUP(D56,'Справочники'!$A$5:$B$14,2,FALSE),0),IFERROR(VLOOKUP(E56,'Справочники'!$D$5:$E$12,2,FALSE),0),IFERROR(VLOOKUP(F56,'Справочники'!$G$5:$H$12,2,FALSE),0),IFERROR(VLOOKUP(G56,'Справочники'!$J$5:$K$12,2,FALSE),0)))</x:f>
        <x:v>0.5</x:v>
      </x:c>
      <x:c r="P56" s="36" t="str"/>
    </x:row>
    <x:row r="57" ht="44" customHeight="1">
      <x:c r="A57" s="39" t="str">
        <x:v>OD-06</x:v>
      </x:c>
      <x:c r="B57" s="36" t="str">
        <x:v>Trust &amp; Safety enforcement</x:v>
      </x:c>
      <x:c r="C57" s="36" t="str">
        <x:v>Open decision</x:v>
      </x:c>
      <x:c r="D57" s="42" t="str">
        <x:v>План</x:v>
      </x:c>
      <x:c r="E57" s="42" t="str">
        <x:v>Approved</x:v>
      </x:c>
      <x:c r="F57" s="42" t="str">
        <x:v>Не требуется</x:v>
      </x:c>
      <x:c r="G57" s="42" t="str">
        <x:v>Не запускались</x:v>
      </x:c>
      <x:c r="H57" s="42" t="str">
        <x:v>Production UGC</x:v>
      </x:c>
      <x:c r="I57" s="42" t="str">
        <x:v>P1</x:v>
      </x:c>
      <x:c r="J57" s="36" t="str">
        <x:v>Owner decision + acceptance evidence</x:v>
      </x:c>
      <x:c r="K57" s="36" t="str">
        <x:v>Open</x:v>
      </x:c>
      <x:c r="L57" s="36" t="str">
        <x:v>Trust &amp; Safety</x:v>
      </x:c>
      <x:c r="M57" s="36" t="str">
        <x:v>docs/product/RECHARGE_BACKEND_DELIVERY_MAP.md</x:v>
      </x:c>
      <x:c r="N57" s="45" t="n">
        <x:v>46250.5</x:v>
      </x:c>
      <x:c r="O57" s="48" t="n">
        <x:f>IF(B57="","",AVERAGE(IFERROR(VLOOKUP(D57,'Справочники'!$A$5:$B$14,2,FALSE),0),IFERROR(VLOOKUP(E57,'Справочники'!$D$5:$E$12,2,FALSE),0),IFERROR(VLOOKUP(F57,'Справочники'!$G$5:$H$12,2,FALSE),0),IFERROR(VLOOKUP(G57,'Справочники'!$J$5:$K$12,2,FALSE),0)))</x:f>
        <x:v>0.5</x:v>
      </x:c>
      <x:c r="P57" s="36" t="str"/>
    </x:row>
    <x:row r="58" ht="44" customHeight="1">
      <x:c r="A58" s="39" t="str">
        <x:v>OD-07</x:v>
      </x:c>
      <x:c r="B58" s="36" t="str">
        <x:v>Firebase projects/regions/edition</x:v>
      </x:c>
      <x:c r="C58" s="36" t="str">
        <x:v>Open decision</x:v>
      </x:c>
      <x:c r="D58" s="42" t="str">
        <x:v>План</x:v>
      </x:c>
      <x:c r="E58" s="42" t="str">
        <x:v>Approved</x:v>
      </x:c>
      <x:c r="F58" s="42" t="str">
        <x:v>Не требуется</x:v>
      </x:c>
      <x:c r="G58" s="42" t="str">
        <x:v>Не запускались</x:v>
      </x:c>
      <x:c r="H58" s="42" t="str">
        <x:v>R1 provisioning</x:v>
      </x:c>
      <x:c r="I58" s="42" t="str">
        <x:v>P0</x:v>
      </x:c>
      <x:c r="J58" s="36" t="str">
        <x:v>Owner decision + acceptance evidence</x:v>
      </x:c>
      <x:c r="K58" s="36" t="str">
        <x:v>Open</x:v>
      </x:c>
      <x:c r="L58" s="36" t="str">
        <x:v>Platform</x:v>
      </x:c>
      <x:c r="M58" s="36" t="str">
        <x:v>docs/product/RECHARGE_BACKEND_DELIVERY_MAP.md</x:v>
      </x:c>
      <x:c r="N58" s="45" t="n">
        <x:v>46250.5</x:v>
      </x:c>
      <x:c r="O58" s="48" t="n">
        <x:f>IF(B58="","",AVERAGE(IFERROR(VLOOKUP(D58,'Справочники'!$A$5:$B$14,2,FALSE),0),IFERROR(VLOOKUP(E58,'Справочники'!$D$5:$E$12,2,FALSE),0),IFERROR(VLOOKUP(F58,'Справочники'!$G$5:$H$12,2,FALSE),0),IFERROR(VLOOKUP(G58,'Справочники'!$J$5:$K$12,2,FALSE),0)))</x:f>
        <x:v>0.5</x:v>
      </x:c>
      <x:c r="P58" s="36" t="str"/>
    </x:row>
    <x:row r="59" ht="44" customHeight="1">
      <x:c r="A59" s="39" t="str">
        <x:v>OD-08</x:v>
      </x:c>
      <x:c r="B59" s="36" t="str">
        <x:v>Account linking/recovery/migration</x:v>
      </x:c>
      <x:c r="C59" s="36" t="str">
        <x:v>Open decision</x:v>
      </x:c>
      <x:c r="D59" s="42" t="str">
        <x:v>План</x:v>
      </x:c>
      <x:c r="E59" s="42" t="str">
        <x:v>Approved</x:v>
      </x:c>
      <x:c r="F59" s="42" t="str">
        <x:v>Не требуется</x:v>
      </x:c>
      <x:c r="G59" s="42" t="str">
        <x:v>Не запускались</x:v>
      </x:c>
      <x:c r="H59" s="42" t="str">
        <x:v>R2 Identity</x:v>
      </x:c>
      <x:c r="I59" s="42" t="str">
        <x:v>P0</x:v>
      </x:c>
      <x:c r="J59" s="36" t="str">
        <x:v>Owner decision + acceptance evidence</x:v>
      </x:c>
      <x:c r="K59" s="36" t="str">
        <x:v>Open</x:v>
      </x:c>
      <x:c r="L59" s="36" t="str">
        <x:v>Identity</x:v>
      </x:c>
      <x:c r="M59" s="36" t="str">
        <x:v>docs/product/RECHARGE_BACKEND_DELIVERY_MAP.md</x:v>
      </x:c>
      <x:c r="N59" s="45" t="n">
        <x:v>46250.5</x:v>
      </x:c>
      <x:c r="O59" s="48" t="n">
        <x:f>IF(B59="","",AVERAGE(IFERROR(VLOOKUP(D59,'Справочники'!$A$5:$B$14,2,FALSE),0),IFERROR(VLOOKUP(E59,'Справочники'!$D$5:$E$12,2,FALSE),0),IFERROR(VLOOKUP(F59,'Справочники'!$G$5:$H$12,2,FALSE),0),IFERROR(VLOOKUP(G59,'Справочники'!$J$5:$K$12,2,FALSE),0)))</x:f>
        <x:v>0.5</x:v>
      </x:c>
      <x:c r="P59" s="36" t="str"/>
    </x:row>
    <x:row r="60" ht="44" customHeight="1">
      <x:c r="A60" s="39" t="str">
        <x:v>OD-09</x:v>
      </x:c>
      <x:c r="B60" s="36" t="str">
        <x:v>Event/outbox envelope</x:v>
      </x:c>
      <x:c r="C60" s="36" t="str">
        <x:v>Open decision</x:v>
      </x:c>
      <x:c r="D60" s="42" t="str">
        <x:v>План</x:v>
      </x:c>
      <x:c r="E60" s="42" t="str">
        <x:v>Approved</x:v>
      </x:c>
      <x:c r="F60" s="42" t="str">
        <x:v>Не требуется</x:v>
      </x:c>
      <x:c r="G60" s="42" t="str">
        <x:v>Не запускались</x:v>
      </x:c>
      <x:c r="H60" s="42" t="str">
        <x:v>D3 effects/workers</x:v>
      </x:c>
      <x:c r="I60" s="42" t="str">
        <x:v>P1</x:v>
      </x:c>
      <x:c r="J60" s="36" t="str">
        <x:v>Owner decision + acceptance evidence</x:v>
      </x:c>
      <x:c r="K60" s="36" t="str">
        <x:v>Open</x:v>
      </x:c>
      <x:c r="L60" s="36" t="str">
        <x:v>API Platform</x:v>
      </x:c>
      <x:c r="M60" s="36" t="str">
        <x:v>docs/product/RECHARGE_BACKEND_DELIVERY_MAP.md</x:v>
      </x:c>
      <x:c r="N60" s="45" t="n">
        <x:v>46250.5</x:v>
      </x:c>
      <x:c r="O60" s="48" t="n">
        <x:f>IF(B60="","",AVERAGE(IFERROR(VLOOKUP(D60,'Справочники'!$A$5:$B$14,2,FALSE),0),IFERROR(VLOOKUP(E60,'Справочники'!$D$5:$E$12,2,FALSE),0),IFERROR(VLOOKUP(F60,'Справочники'!$G$5:$H$12,2,FALSE),0),IFERROR(VLOOKUP(G60,'Справочники'!$J$5:$K$12,2,FALSE),0)))</x:f>
        <x:v>0.5</x:v>
      </x:c>
      <x:c r="P60" s="36" t="str"/>
    </x:row>
    <x:row r="61" ht="44" customHeight="1">
      <x:c r="A61" s="39" t="str">
        <x:v>OD-10</x:v>
      </x:c>
      <x:c r="B61" s="36" t="str">
        <x:v>LocalizedText/fallback/revisions</x:v>
      </x:c>
      <x:c r="C61" s="36" t="str">
        <x:v>Open decision</x:v>
      </x:c>
      <x:c r="D61" s="42" t="str">
        <x:v>План</x:v>
      </x:c>
      <x:c r="E61" s="42" t="str">
        <x:v>Approved</x:v>
      </x:c>
      <x:c r="F61" s="42" t="str">
        <x:v>Не требуется</x:v>
      </x:c>
      <x:c r="G61" s="42" t="str">
        <x:v>Не запускались</x:v>
      </x:c>
      <x:c r="H61" s="42" t="str">
        <x:v>BCK-07 approval</x:v>
      </x:c>
      <x:c r="I61" s="42" t="str">
        <x:v>P1</x:v>
      </x:c>
      <x:c r="J61" s="36" t="str">
        <x:v>Owner decision + acceptance evidence</x:v>
      </x:c>
      <x:c r="K61" s="36" t="str">
        <x:v>Open</x:v>
      </x:c>
      <x:c r="L61" s="36" t="str">
        <x:v>Reference Data</x:v>
      </x:c>
      <x:c r="M61" s="36" t="str">
        <x:v>docs/product/RECHARGE_BACKEND_DELIVERY_MAP.md</x:v>
      </x:c>
      <x:c r="N61" s="45" t="n">
        <x:v>46250.5</x:v>
      </x:c>
      <x:c r="O61" s="48" t="n">
        <x:f>IF(B61="","",AVERAGE(IFERROR(VLOOKUP(D61,'Справочники'!$A$5:$B$14,2,FALSE),0),IFERROR(VLOOKUP(E61,'Справочники'!$D$5:$E$12,2,FALSE),0),IFERROR(VLOOKUP(F61,'Справочники'!$G$5:$H$12,2,FALSE),0),IFERROR(VLOOKUP(G61,'Справочники'!$J$5:$K$12,2,FALSE),0)))</x:f>
        <x:v>0.5</x:v>
      </x:c>
      <x:c r="P61" s="36" t="str"/>
    </x:row>
    <x:row r="62" ht="44" customHeight="1">
      <x:c r="A62" s="39" t="str">
        <x:v>OD-11</x:v>
      </x:c>
      <x:c r="B62" s="36" t="str">
        <x:v>Minors/age eligibility policy</x:v>
      </x:c>
      <x:c r="C62" s="36" t="str">
        <x:v>Open decision</x:v>
      </x:c>
      <x:c r="D62" s="42" t="str">
        <x:v>План</x:v>
      </x:c>
      <x:c r="E62" s="42" t="str">
        <x:v>Approved</x:v>
      </x:c>
      <x:c r="F62" s="42" t="str">
        <x:v>Не требуется</x:v>
      </x:c>
      <x:c r="G62" s="42" t="str">
        <x:v>Не запускались</x:v>
      </x:c>
      <x:c r="H62" s="42" t="str">
        <x:v>R2/G6 age-sensitive paths</x:v>
      </x:c>
      <x:c r="I62" s="42" t="str">
        <x:v>P0</x:v>
      </x:c>
      <x:c r="J62" s="36" t="str">
        <x:v>Owner decision + acceptance evidence</x:v>
      </x:c>
      <x:c r="K62" s="36" t="str">
        <x:v>Open</x:v>
      </x:c>
      <x:c r="L62" s="36" t="str">
        <x:v>Security/Privacy</x:v>
      </x:c>
      <x:c r="M62" s="36" t="str">
        <x:v>docs/product/RECHARGE_BACKEND_DELIVERY_MAP.md</x:v>
      </x:c>
      <x:c r="N62" s="45" t="n">
        <x:v>46250.5</x:v>
      </x:c>
      <x:c r="O62" s="48" t="n">
        <x:f>IF(B62="","",AVERAGE(IFERROR(VLOOKUP(D62,'Справочники'!$A$5:$B$14,2,FALSE),0),IFERROR(VLOOKUP(E62,'Справочники'!$D$5:$E$12,2,FALSE),0),IFERROR(VLOOKUP(F62,'Справочники'!$G$5:$H$12,2,FALSE),0),IFERROR(VLOOKUP(G62,'Справочники'!$J$5:$K$12,2,FALSE),0)))</x:f>
        <x:v>0.5</x:v>
      </x:c>
      <x:c r="P62" s="36" t="str"/>
    </x:row>
    <x:row r="63" ht="44" customHeight="1">
      <x:c r="A63" s="39" t="str">
        <x:v>D0</x:v>
      </x:c>
      <x:c r="B63" s="36" t="str">
        <x:v>Coordination</x:v>
      </x:c>
      <x:c r="C63" s="36" t="str">
        <x:v>Backend documentation wave</x:v>
      </x:c>
      <x:c r="D63" s="42" t="str">
        <x:v>Готово</x:v>
      </x:c>
      <x:c r="E63" s="42" t="str">
        <x:v>Approved</x:v>
      </x:c>
      <x:c r="F63" s="42" t="str">
        <x:v>Не требуется</x:v>
      </x:c>
      <x:c r="G63" s="42" t="str">
        <x:v>Текущие зелёные</x:v>
      </x:c>
      <x:c r="H63" s="42" t="str">
        <x:v>Current baseline</x:v>
      </x:c>
      <x:c r="I63" s="42" t="str">
        <x:v>P0</x:v>
      </x:c>
      <x:c r="J63" s="36" t="str">
        <x:v>Keep BCK registry consistent</x:v>
      </x:c>
      <x:c r="K63" s="36" t="str">
        <x:v>BCK-04 registry drift</x:v>
      </x:c>
      <x:c r="L63" s="36" t="str">
        <x:v>Architecture owner</x:v>
      </x:c>
      <x:c r="M63" s="36" t="str">
        <x:v>docs/product/RECHARGE_BACKEND_DELIVERY_MAP.md</x:v>
      </x:c>
      <x:c r="N63" s="45" t="n">
        <x:v>46250.5</x:v>
      </x:c>
      <x:c r="O63" s="48" t="n">
        <x:f>IF(B63="","",AVERAGE(IFERROR(VLOOKUP(D63,'Справочники'!$A$5:$B$14,2,FALSE),0),IFERROR(VLOOKUP(E63,'Справочники'!$D$5:$E$12,2,FALSE),0),IFERROR(VLOOKUP(F63,'Справочники'!$G$5:$H$12,2,FALSE),0),IFERROR(VLOOKUP(G63,'Справочники'!$J$5:$K$12,2,FALSE),0)))</x:f>
        <x:v>0.975</x:v>
      </x:c>
      <x:c r="P63" s="36" t="str"/>
    </x:row>
    <x:row r="64" ht="44" customHeight="1">
      <x:c r="A64" s="39" t="str">
        <x:v>D1</x:v>
      </x:c>
      <x:c r="B64" s="36" t="str">
        <x:v>Platform specs</x:v>
      </x:c>
      <x:c r="C64" s="36" t="str">
        <x:v>Backend documentation wave</x:v>
      </x:c>
      <x:c r="D64" s="42" t="str">
        <x:v>План</x:v>
      </x:c>
      <x:c r="E64" s="42" t="str">
        <x:v>Approved</x:v>
      </x:c>
      <x:c r="F64" s="42" t="str">
        <x:v>Не требуется</x:v>
      </x:c>
      <x:c r="G64" s="42" t="str">
        <x:v>Не запускались</x:v>
      </x:c>
      <x:c r="H64" s="42" t="str">
        <x:v>After D0</x:v>
      </x:c>
      <x:c r="I64" s="42" t="str">
        <x:v>P0</x:v>
      </x:c>
      <x:c r="J64" s="36" t="str">
        <x:v>Complete specified documents and owner decisions</x:v>
      </x:c>
      <x:c r="K64" s="36" t="str">
        <x:v>Upstream specs/OD</x:v>
      </x:c>
      <x:c r="L64" s="36" t="str">
        <x:v>Architecture owner</x:v>
      </x:c>
      <x:c r="M64" s="36" t="str">
        <x:v>docs/product/RECHARGE_BACKEND_DELIVERY_MAP.md</x:v>
      </x:c>
      <x:c r="N64" s="45" t="n">
        <x:v>46250.5</x:v>
      </x:c>
      <x:c r="O64" s="48" t="n">
        <x:f>IF(B64="","",AVERAGE(IFERROR(VLOOKUP(D64,'Справочники'!$A$5:$B$14,2,FALSE),0),IFERROR(VLOOKUP(E64,'Справочники'!$D$5:$E$12,2,FALSE),0),IFERROR(VLOOKUP(F64,'Справочники'!$G$5:$H$12,2,FALSE),0),IFERROR(VLOOKUP(G64,'Справочники'!$J$5:$K$12,2,FALSE),0)))</x:f>
        <x:v>0.5</x:v>
      </x:c>
      <x:c r="P64" s="36" t="str"/>
    </x:row>
    <x:row r="65" ht="44" customHeight="1">
      <x:c r="A65" s="39" t="str">
        <x:v>D2</x:v>
      </x:c>
      <x:c r="B65" s="36" t="str">
        <x:v>Authority/client/content</x:v>
      </x:c>
      <x:c r="C65" s="36" t="str">
        <x:v>Backend documentation wave</x:v>
      </x:c>
      <x:c r="D65" s="42" t="str">
        <x:v>План</x:v>
      </x:c>
      <x:c r="E65" s="42" t="str">
        <x:v>Approved</x:v>
      </x:c>
      <x:c r="F65" s="42" t="str">
        <x:v>Не требуется</x:v>
      </x:c>
      <x:c r="G65" s="42" t="str">
        <x:v>Не запускались</x:v>
      </x:c>
      <x:c r="H65" s="42" t="str">
        <x:v>After D1</x:v>
      </x:c>
      <x:c r="I65" s="42" t="str">
        <x:v>P0</x:v>
      </x:c>
      <x:c r="J65" s="36" t="str">
        <x:v>Complete specified documents and owner decisions</x:v>
      </x:c>
      <x:c r="K65" s="36" t="str">
        <x:v>Upstream specs/OD</x:v>
      </x:c>
      <x:c r="L65" s="36" t="str">
        <x:v>Architecture owner</x:v>
      </x:c>
      <x:c r="M65" s="36" t="str">
        <x:v>docs/product/RECHARGE_BACKEND_DELIVERY_MAP.md</x:v>
      </x:c>
      <x:c r="N65" s="45" t="n">
        <x:v>46250.5</x:v>
      </x:c>
      <x:c r="O65" s="48" t="n">
        <x:f>IF(B65="","",AVERAGE(IFERROR(VLOOKUP(D65,'Справочники'!$A$5:$B$14,2,FALSE),0),IFERROR(VLOOKUP(E65,'Справочники'!$D$5:$E$12,2,FALSE),0),IFERROR(VLOOKUP(F65,'Справочники'!$G$5:$H$12,2,FALSE),0),IFERROR(VLOOKUP(G65,'Справочники'!$J$5:$K$12,2,FALSE),0)))</x:f>
        <x:v>0.5</x:v>
      </x:c>
      <x:c r="P65" s="36" t="str"/>
    </x:row>
    <x:row r="66" ht="44" customHeight="1">
      <x:c r="A66" s="39" t="str">
        <x:v>D3</x:v>
      </x:c>
      <x:c r="B66" s="36" t="str">
        <x:v>User actions/safety</x:v>
      </x:c>
      <x:c r="C66" s="36" t="str">
        <x:v>Backend documentation wave</x:v>
      </x:c>
      <x:c r="D66" s="42" t="str">
        <x:v>План</x:v>
      </x:c>
      <x:c r="E66" s="42" t="str">
        <x:v>Approved</x:v>
      </x:c>
      <x:c r="F66" s="42" t="str">
        <x:v>Не требуется</x:v>
      </x:c>
      <x:c r="G66" s="42" t="str">
        <x:v>Не запускались</x:v>
      </x:c>
      <x:c r="H66" s="42" t="str">
        <x:v>After D2</x:v>
      </x:c>
      <x:c r="I66" s="42" t="str">
        <x:v>P0</x:v>
      </x:c>
      <x:c r="J66" s="36" t="str">
        <x:v>Complete specified documents and owner decisions</x:v>
      </x:c>
      <x:c r="K66" s="36" t="str">
        <x:v>Upstream specs/OD</x:v>
      </x:c>
      <x:c r="L66" s="36" t="str">
        <x:v>Architecture owner</x:v>
      </x:c>
      <x:c r="M66" s="36" t="str">
        <x:v>docs/product/RECHARGE_BACKEND_DELIVERY_MAP.md</x:v>
      </x:c>
      <x:c r="N66" s="45" t="n">
        <x:v>46250.5</x:v>
      </x:c>
      <x:c r="O66" s="48" t="n">
        <x:f>IF(B66="","",AVERAGE(IFERROR(VLOOKUP(D66,'Справочники'!$A$5:$B$14,2,FALSE),0),IFERROR(VLOOKUP(E66,'Справочники'!$D$5:$E$12,2,FALSE),0),IFERROR(VLOOKUP(F66,'Справочники'!$G$5:$H$12,2,FALSE),0),IFERROR(VLOOKUP(G66,'Справочники'!$J$5:$K$12,2,FALSE),0)))</x:f>
        <x:v>0.5</x:v>
      </x:c>
      <x:c r="P66" s="36" t="str"/>
    </x:row>
    <x:row r="67" ht="44" customHeight="1">
      <x:c r="A67" s="39" t="str">
        <x:v>D4</x:v>
      </x:c>
      <x:c r="B67" s="36" t="str">
        <x:v>Planning</x:v>
      </x:c>
      <x:c r="C67" s="36" t="str">
        <x:v>Backend documentation wave</x:v>
      </x:c>
      <x:c r="D67" s="42" t="str">
        <x:v>План</x:v>
      </x:c>
      <x:c r="E67" s="42" t="str">
        <x:v>Approved</x:v>
      </x:c>
      <x:c r="F67" s="42" t="str">
        <x:v>Не требуется</x:v>
      </x:c>
      <x:c r="G67" s="42" t="str">
        <x:v>Не запускались</x:v>
      </x:c>
      <x:c r="H67" s="42" t="str">
        <x:v>After D3</x:v>
      </x:c>
      <x:c r="I67" s="42" t="str">
        <x:v>P1</x:v>
      </x:c>
      <x:c r="J67" s="36" t="str">
        <x:v>Complete specified documents and owner decisions</x:v>
      </x:c>
      <x:c r="K67" s="36" t="str">
        <x:v>Upstream specs/OD</x:v>
      </x:c>
      <x:c r="L67" s="36" t="str">
        <x:v>Architecture owner</x:v>
      </x:c>
      <x:c r="M67" s="36" t="str">
        <x:v>docs/product/RECHARGE_BACKEND_DELIVERY_MAP.md</x:v>
      </x:c>
      <x:c r="N67" s="45" t="n">
        <x:v>46250.5</x:v>
      </x:c>
      <x:c r="O67" s="48" t="n">
        <x:f>IF(B67="","",AVERAGE(IFERROR(VLOOKUP(D67,'Справочники'!$A$5:$B$14,2,FALSE),0),IFERROR(VLOOKUP(E67,'Справочники'!$D$5:$E$12,2,FALSE),0),IFERROR(VLOOKUP(F67,'Справочники'!$G$5:$H$12,2,FALSE),0),IFERROR(VLOOKUP(G67,'Справочники'!$J$5:$K$12,2,FALSE),0)))</x:f>
        <x:v>0.5</x:v>
      </x:c>
      <x:c r="P67" s="36" t="str"/>
    </x:row>
    <x:row r="68" ht="44" customHeight="1">
      <x:c r="A68" s="39" t="str">
        <x:v>D5</x:v>
      </x:c>
      <x:c r="B68" s="36" t="str">
        <x:v>Gated integrations</x:v>
      </x:c>
      <x:c r="C68" s="36" t="str">
        <x:v>Backend documentation wave</x:v>
      </x:c>
      <x:c r="D68" s="42" t="str">
        <x:v>План</x:v>
      </x:c>
      <x:c r="E68" s="42" t="str">
        <x:v>Approved</x:v>
      </x:c>
      <x:c r="F68" s="42" t="str">
        <x:v>Не требуется</x:v>
      </x:c>
      <x:c r="G68" s="42" t="str">
        <x:v>Не запускались</x:v>
      </x:c>
      <x:c r="H68" s="42" t="str">
        <x:v>After D4</x:v>
      </x:c>
      <x:c r="I68" s="42" t="str">
        <x:v>P1</x:v>
      </x:c>
      <x:c r="J68" s="36" t="str">
        <x:v>Complete specified documents and owner decisions</x:v>
      </x:c>
      <x:c r="K68" s="36" t="str">
        <x:v>Upstream specs/OD</x:v>
      </x:c>
      <x:c r="L68" s="36" t="str">
        <x:v>Architecture owner</x:v>
      </x:c>
      <x:c r="M68" s="36" t="str">
        <x:v>docs/product/RECHARGE_BACKEND_DELIVERY_MAP.md</x:v>
      </x:c>
      <x:c r="N68" s="45" t="n">
        <x:v>46250.5</x:v>
      </x:c>
      <x:c r="O68" s="48" t="n">
        <x:f>IF(B68="","",AVERAGE(IFERROR(VLOOKUP(D68,'Справочники'!$A$5:$B$14,2,FALSE),0),IFERROR(VLOOKUP(E68,'Справочники'!$D$5:$E$12,2,FALSE),0),IFERROR(VLOOKUP(F68,'Справочники'!$G$5:$H$12,2,FALSE),0),IFERROR(VLOOKUP(G68,'Справочники'!$J$5:$K$12,2,FALSE),0)))</x:f>
        <x:v>0.5</x:v>
      </x:c>
      <x:c r="P68" s="36" t="str"/>
    </x:row>
    <x:row r="69" ht="44" customHeight="1">
      <x:c r="A69" s="39" t="str">
        <x:v>D6</x:v>
      </x:c>
      <x:c r="B69" s="36" t="str">
        <x:v>Operations readiness</x:v>
      </x:c>
      <x:c r="C69" s="36" t="str">
        <x:v>Backend documentation wave</x:v>
      </x:c>
      <x:c r="D69" s="42" t="str">
        <x:v>План</x:v>
      </x:c>
      <x:c r="E69" s="42" t="str">
        <x:v>Approved</x:v>
      </x:c>
      <x:c r="F69" s="42" t="str">
        <x:v>Не требуется</x:v>
      </x:c>
      <x:c r="G69" s="42" t="str">
        <x:v>Не запускались</x:v>
      </x:c>
      <x:c r="H69" s="42" t="str">
        <x:v>After D5</x:v>
      </x:c>
      <x:c r="I69" s="42" t="str">
        <x:v>P1</x:v>
      </x:c>
      <x:c r="J69" s="36" t="str">
        <x:v>Complete specified documents and owner decisions</x:v>
      </x:c>
      <x:c r="K69" s="36" t="str">
        <x:v>Upstream specs/OD</x:v>
      </x:c>
      <x:c r="L69" s="36" t="str">
        <x:v>Architecture owner</x:v>
      </x:c>
      <x:c r="M69" s="36" t="str">
        <x:v>docs/product/RECHARGE_BACKEND_DELIVERY_MAP.md</x:v>
      </x:c>
      <x:c r="N69" s="45" t="n">
        <x:v>46250.5</x:v>
      </x:c>
      <x:c r="O69" s="48" t="n">
        <x:f>IF(B69="","",AVERAGE(IFERROR(VLOOKUP(D69,'Справочники'!$A$5:$B$14,2,FALSE),0),IFERROR(VLOOKUP(E69,'Справочники'!$D$5:$E$12,2,FALSE),0),IFERROR(VLOOKUP(F69,'Справочники'!$G$5:$H$12,2,FALSE),0),IFERROR(VLOOKUP(G69,'Справочники'!$J$5:$K$12,2,FALSE),0)))</x:f>
        <x:v>0.5</x:v>
      </x:c>
      <x:c r="P69" s="36" t="str"/>
    </x:row>
    <x:row r="70" ht="44" customHeight="1">
      <x:c r="A70" s="39" t="str">
        <x:v>RUN-01</x:v>
      </x:c>
      <x:c r="B70" s="36" t="str">
        <x:v>backend-incident</x:v>
      </x:c>
      <x:c r="C70" s="36" t="str">
        <x:v>Target backend runbook</x:v>
      </x:c>
      <x:c r="D70" s="42" t="str">
        <x:v>План</x:v>
      </x:c>
      <x:c r="E70" s="42" t="str">
        <x:v>Отсутствует</x:v>
      </x:c>
      <x:c r="F70" s="42" t="str">
        <x:v>Не требуется</x:v>
      </x:c>
      <x:c r="G70" s="42" t="str">
        <x:v>Не запускались</x:v>
      </x:c>
      <x:c r="H70" s="42" t="str">
        <x:v>Before deployment/cohort</x:v>
      </x:c>
      <x:c r="I70" s="42" t="str">
        <x:v>P0</x:v>
      </x:c>
      <x:c r="J70" s="36" t="str">
        <x:v>Create from actual runtime topology/commands</x:v>
      </x:c>
      <x:c r="K70" s="36" t="str">
        <x:v>Physical backend/runbook absent</x:v>
      </x:c>
      <x:c r="L70" s="36" t="str">
        <x:v>Operations / Security</x:v>
      </x:c>
      <x:c r="M70" s="36" t="str">
        <x:v>docs/runbooks/backend-incident.md</x:v>
      </x:c>
      <x:c r="N70" s="45" t="n">
        <x:v>46250.5</x:v>
      </x:c>
      <x:c r="O70" s="48" t="n">
        <x:f>IF(B70="","",AVERAGE(IFERROR(VLOOKUP(D70,'Справочники'!$A$5:$B$14,2,FALSE),0),IFERROR(VLOOKUP(E70,'Справочники'!$D$5:$E$12,2,FALSE),0),IFERROR(VLOOKUP(F70,'Справочники'!$G$5:$H$12,2,FALSE),0),IFERROR(VLOOKUP(G70,'Справочники'!$J$5:$K$12,2,FALSE),0)))</x:f>
        <x:v>0.275</x:v>
      </x:c>
      <x:c r="P70" s="36" t="str"/>
    </x:row>
    <x:row r="71" ht="44" customHeight="1">
      <x:c r="A71" s="39" t="str">
        <x:v>RUN-02</x:v>
      </x:c>
      <x:c r="B71" s="36" t="str">
        <x:v>backend-rollback</x:v>
      </x:c>
      <x:c r="C71" s="36" t="str">
        <x:v>Target backend runbook</x:v>
      </x:c>
      <x:c r="D71" s="42" t="str">
        <x:v>План</x:v>
      </x:c>
      <x:c r="E71" s="42" t="str">
        <x:v>Отсутствует</x:v>
      </x:c>
      <x:c r="F71" s="42" t="str">
        <x:v>Не требуется</x:v>
      </x:c>
      <x:c r="G71" s="42" t="str">
        <x:v>Не запускались</x:v>
      </x:c>
      <x:c r="H71" s="42" t="str">
        <x:v>Before deployment/cohort</x:v>
      </x:c>
      <x:c r="I71" s="42" t="str">
        <x:v>P0</x:v>
      </x:c>
      <x:c r="J71" s="36" t="str">
        <x:v>Create from actual runtime topology/commands</x:v>
      </x:c>
      <x:c r="K71" s="36" t="str">
        <x:v>Physical backend/runbook absent</x:v>
      </x:c>
      <x:c r="L71" s="36" t="str">
        <x:v>Operations / Security</x:v>
      </x:c>
      <x:c r="M71" s="36" t="str">
        <x:v>docs/runbooks/backend-rollback.md</x:v>
      </x:c>
      <x:c r="N71" s="45" t="n">
        <x:v>46250.5</x:v>
      </x:c>
      <x:c r="O71" s="48" t="n">
        <x:f>IF(B71="","",AVERAGE(IFERROR(VLOOKUP(D71,'Справочники'!$A$5:$B$14,2,FALSE),0),IFERROR(VLOOKUP(E71,'Справочники'!$D$5:$E$12,2,FALSE),0),IFERROR(VLOOKUP(F71,'Справочники'!$G$5:$H$12,2,FALSE),0),IFERROR(VLOOKUP(G71,'Справочники'!$J$5:$K$12,2,FALSE),0)))</x:f>
        <x:v>0.275</x:v>
      </x:c>
      <x:c r="P71" s="36" t="str"/>
    </x:row>
    <x:row r="72" ht="44" customHeight="1">
      <x:c r="A72" s="39" t="str">
        <x:v>RUN-03</x:v>
      </x:c>
      <x:c r="B72" s="36" t="str">
        <x:v>backend-reconciliation-repair</x:v>
      </x:c>
      <x:c r="C72" s="36" t="str">
        <x:v>Target backend runbook</x:v>
      </x:c>
      <x:c r="D72" s="42" t="str">
        <x:v>План</x:v>
      </x:c>
      <x:c r="E72" s="42" t="str">
        <x:v>Отсутствует</x:v>
      </x:c>
      <x:c r="F72" s="42" t="str">
        <x:v>Не требуется</x:v>
      </x:c>
      <x:c r="G72" s="42" t="str">
        <x:v>Не запускались</x:v>
      </x:c>
      <x:c r="H72" s="42" t="str">
        <x:v>Before applicable production data</x:v>
      </x:c>
      <x:c r="I72" s="42" t="str">
        <x:v>P0</x:v>
      </x:c>
      <x:c r="J72" s="36" t="str">
        <x:v>Create from actual runtime topology/commands</x:v>
      </x:c>
      <x:c r="K72" s="36" t="str">
        <x:v>Physical backend/runbook absent</x:v>
      </x:c>
      <x:c r="L72" s="36" t="str">
        <x:v>Operations / Security</x:v>
      </x:c>
      <x:c r="M72" s="36" t="str">
        <x:v>docs/runbooks/backend-reconciliation-repair.md</x:v>
      </x:c>
      <x:c r="N72" s="45" t="n">
        <x:v>46250.5</x:v>
      </x:c>
      <x:c r="O72" s="48" t="n">
        <x:f>IF(B72="","",AVERAGE(IFERROR(VLOOKUP(D72,'Справочники'!$A$5:$B$14,2,FALSE),0),IFERROR(VLOOKUP(E72,'Справочники'!$D$5:$E$12,2,FALSE),0),IFERROR(VLOOKUP(F72,'Справочники'!$G$5:$H$12,2,FALSE),0),IFERROR(VLOOKUP(G72,'Справочники'!$J$5:$K$12,2,FALSE),0)))</x:f>
        <x:v>0.275</x:v>
      </x:c>
      <x:c r="P72" s="36" t="str"/>
    </x:row>
    <x:row r="73" ht="44" customHeight="1">
      <x:c r="A73" s="39" t="str">
        <x:v>RUN-04</x:v>
      </x:c>
      <x:c r="B73" s="36" t="str">
        <x:v>backend-privacy-deletion</x:v>
      </x:c>
      <x:c r="C73" s="36" t="str">
        <x:v>Target backend runbook</x:v>
      </x:c>
      <x:c r="D73" s="42" t="str">
        <x:v>План</x:v>
      </x:c>
      <x:c r="E73" s="42" t="str">
        <x:v>Отсутствует</x:v>
      </x:c>
      <x:c r="F73" s="42" t="str">
        <x:v>Не требуется</x:v>
      </x:c>
      <x:c r="G73" s="42" t="str">
        <x:v>Не запускались</x:v>
      </x:c>
      <x:c r="H73" s="42" t="str">
        <x:v>Before applicable production data</x:v>
      </x:c>
      <x:c r="I73" s="42" t="str">
        <x:v>P0</x:v>
      </x:c>
      <x:c r="J73" s="36" t="str">
        <x:v>Create from actual runtime topology/commands</x:v>
      </x:c>
      <x:c r="K73" s="36" t="str">
        <x:v>Physical backend/runbook absent</x:v>
      </x:c>
      <x:c r="L73" s="36" t="str">
        <x:v>Operations / Security</x:v>
      </x:c>
      <x:c r="M73" s="36" t="str">
        <x:v>docs/runbooks/backend-privacy-deletion.md</x:v>
      </x:c>
      <x:c r="N73" s="45" t="n">
        <x:v>46250.5</x:v>
      </x:c>
      <x:c r="O73" s="48" t="n">
        <x:f>IF(B73="","",AVERAGE(IFERROR(VLOOKUP(D73,'Справочники'!$A$5:$B$14,2,FALSE),0),IFERROR(VLOOKUP(E73,'Справочники'!$D$5:$E$12,2,FALSE),0),IFERROR(VLOOKUP(F73,'Справочники'!$G$5:$H$12,2,FALSE),0),IFERROR(VLOOKUP(G73,'Справочники'!$J$5:$K$12,2,FALSE),0)))</x:f>
        <x:v>0.275</x:v>
      </x:c>
      <x:c r="P73" s="36" t="str"/>
    </x:row>
    <x:row r="74" ht="44" customHeight="1">
      <x:c r="A74" s="39" t="str">
        <x:v>RUN-05</x:v>
      </x:c>
      <x:c r="B74" s="36" t="str">
        <x:v>backend-disaster-recovery</x:v>
      </x:c>
      <x:c r="C74" s="36" t="str">
        <x:v>Target backend runbook</x:v>
      </x:c>
      <x:c r="D74" s="42" t="str">
        <x:v>План</x:v>
      </x:c>
      <x:c r="E74" s="42" t="str">
        <x:v>Отсутствует</x:v>
      </x:c>
      <x:c r="F74" s="42" t="str">
        <x:v>Не требуется</x:v>
      </x:c>
      <x:c r="G74" s="42" t="str">
        <x:v>Не запускались</x:v>
      </x:c>
      <x:c r="H74" s="42" t="str">
        <x:v>Before applicable production data</x:v>
      </x:c>
      <x:c r="I74" s="42" t="str">
        <x:v>P0</x:v>
      </x:c>
      <x:c r="J74" s="36" t="str">
        <x:v>Create from actual runtime topology/commands</x:v>
      </x:c>
      <x:c r="K74" s="36" t="str">
        <x:v>Physical backend/runbook absent</x:v>
      </x:c>
      <x:c r="L74" s="36" t="str">
        <x:v>Operations / Security</x:v>
      </x:c>
      <x:c r="M74" s="36" t="str">
        <x:v>docs/runbooks/backend-disaster-recovery.md</x:v>
      </x:c>
      <x:c r="N74" s="45" t="n">
        <x:v>46250.5</x:v>
      </x:c>
      <x:c r="O74" s="48" t="n">
        <x:f>IF(B74="","",AVERAGE(IFERROR(VLOOKUP(D74,'Справочники'!$A$5:$B$14,2,FALSE),0),IFERROR(VLOOKUP(E74,'Справочники'!$D$5:$E$12,2,FALSE),0),IFERROR(VLOOKUP(F74,'Справочники'!$G$5:$H$12,2,FALSE),0),IFERROR(VLOOKUP(G74,'Справочники'!$J$5:$K$12,2,FALSE),0)))</x:f>
        <x:v>0.275</x:v>
      </x:c>
      <x:c r="P74" s="36" t="str"/>
    </x:row>
    <x:row r="75" ht="44" customHeight="1">
      <x:c r="A75" s="40" t="str">
        <x:v>RUN-06</x:v>
      </x:c>
      <x:c r="B75" s="37" t="str">
        <x:v>backend-security-abuse</x:v>
      </x:c>
      <x:c r="C75" s="37" t="str">
        <x:v>Target backend runbook</x:v>
      </x:c>
      <x:c r="D75" s="43" t="str">
        <x:v>План</x:v>
      </x:c>
      <x:c r="E75" s="43" t="str">
        <x:v>Отсутствует</x:v>
      </x:c>
      <x:c r="F75" s="43" t="str">
        <x:v>Не требуется</x:v>
      </x:c>
      <x:c r="G75" s="43" t="str">
        <x:v>Не запускались</x:v>
      </x:c>
      <x:c r="H75" s="43" t="str">
        <x:v>Before applicable production data</x:v>
      </x:c>
      <x:c r="I75" s="43" t="str">
        <x:v>P0</x:v>
      </x:c>
      <x:c r="J75" s="37" t="str">
        <x:v>Create from actual runtime topology/commands</x:v>
      </x:c>
      <x:c r="K75" s="37" t="str">
        <x:v>Physical backend/runbook absent</x:v>
      </x:c>
      <x:c r="L75" s="37" t="str">
        <x:v>Operations / Security</x:v>
      </x:c>
      <x:c r="M75" s="37" t="str">
        <x:v>docs/runbooks/backend-security-abuse.md</x:v>
      </x:c>
      <x:c r="N75" s="46" t="n">
        <x:v>46250.5</x:v>
      </x:c>
      <x:c r="O75" s="49" t="n">
        <x:f>IF(B75="","",AVERAGE(IFERROR(VLOOKUP(D75,'Справочники'!$A$5:$B$14,2,FALSE),0),IFERROR(VLOOKUP(E75,'Справочники'!$D$5:$E$12,2,FALSE),0),IFERROR(VLOOKUP(F75,'Справочники'!$G$5:$H$12,2,FALSE),0),IFERROR(VLOOKUP(G75,'Справочники'!$J$5:$K$12,2,FALSE),0)))</x:f>
        <x:v>0.275</x:v>
      </x:c>
      <x:c r="P75" s="37" t="str"/>
    </x:row>
  </x:sheetData>
  <x:mergeCells>
    <x:mergeCell ref="A1:P1"/>
    <x:mergeCell ref="A2:P2"/>
    <x:mergeCell ref="A3:B3"/>
    <x:mergeCell ref="C3:D3"/>
    <x:mergeCell ref="E3:F3"/>
    <x:mergeCell ref="G3:H3"/>
    <x:mergeCell ref="I3:J3"/>
    <x:mergeCell ref="K3:L3"/>
    <x:mergeCell ref="M3:N3"/>
    <x:mergeCell ref="O3:P3"/>
  </x:mergeCells>
  <x:conditionalFormatting sqref="D6:D75">
    <x:cfRule type="containsText" dxfId="168" priority="1" operator="containsText" text="Готово local/mock"/>
    <x:cfRule type="expression" dxfId="169" priority="2">
      <x:formula>$D6="Готово"</x:formula>
    </x:cfRule>
    <x:cfRule type="containsText" dxfId="170" priority="3" operator="containsText" text="Review"/>
    <x:cfRule type="containsText" dxfId="171" priority="4" operator="containsText" text="Draft"/>
    <x:cfRule type="containsText" dxfId="172" priority="5" operator="containsText" text="Отсутствует"/>
    <x:cfRule type="containsText" dxfId="173" priority="6" operator="containsText" text="В работе"/>
  </x:conditionalFormatting>
  <x:conditionalFormatting sqref="E6:E75">
    <x:cfRule type="containsText" dxfId="174" priority="7" operator="containsText" text="Accepted"/>
    <x:cfRule type="containsText" dxfId="175" priority="8" operator="containsText" text="Canonical"/>
    <x:cfRule type="containsText" dxfId="176" priority="9" operator="containsText" text="Approved"/>
    <x:cfRule type="containsText" dxfId="177" priority="10" operator="containsText" text="Review"/>
    <x:cfRule type="containsText" dxfId="178" priority="11" operator="containsText" text="Draft"/>
    <x:cfRule type="containsText" dxfId="179" priority="12" operator="containsText" text="Отсутствует"/>
  </x:conditionalFormatting>
  <x:conditionalFormatting sqref="F6:F75">
    <x:cfRule type="expression" dxfId="180" priority="13">
      <x:formula>$F6="Production"</x:formula>
    </x:cfRule>
    <x:cfRule type="expression" dxfId="181" priority="14">
      <x:formula>$F6="Local/mock"</x:formula>
    </x:cfRule>
    <x:cfRule type="expression" dxfId="182" priority="15">
      <x:formula>$F6="Pure domain"</x:formula>
    </x:cfRule>
    <x:cfRule type="expression" dxfId="183" priority="16">
      <x:formula>$F6="Отсутствует"</x:formula>
    </x:cfRule>
    <x:cfRule type="expression" dxfId="184" priority="17">
      <x:formula>$F6="Gated"</x:formula>
    </x:cfRule>
  </x:conditionalFormatting>
  <x:conditionalFormatting sqref="G6:G75">
    <x:cfRule type="containsText" dxfId="185" priority="18" operator="containsText" text="Текущие зелёные"/>
    <x:cfRule type="containsText" dxfId="186" priority="19" operator="containsText" text="Исторические зелёные"/>
    <x:cfRule type="containsText" dxfId="187" priority="20" operator="containsText" text="Device pending"/>
    <x:cfRule type="containsText" dxfId="188" priority="21" operator="containsText" text="Не запускались"/>
  </x:conditionalFormatting>
  <x:conditionalFormatting sqref="I6:I75">
    <x:cfRule type="containsText" dxfId="189" priority="22" operator="containsText" text="P0"/>
    <x:cfRule type="containsText" dxfId="190" priority="23" operator="containsText" text="P1"/>
    <x:cfRule type="containsText" dxfId="191" priority="24" operator="containsText" text="P2"/>
  </x:conditionalFormatting>
  <x:conditionalFormatting sqref="O6:O75">
    <x:cfRule type="dataBar" priority="25">
      <x:dataBar>
        <x:cfvo type="min"/>
        <x:cfvo type="max"/>
        <x:color rgb="FF2F6B5C"/>
      </x:dataBar>
      <x:extLst>
        <x:ext xmlns:x14="http://schemas.microsoft.com/office/spreadsheetml/2009/9/main" uri="{B025F937-C7B1-47D3-B67F-A62EFF666E3E}">
          <x14:id>{9F90DBC4-1BEB-6A04-2B35-71C5A66B01DE}</x14:id>
        </x:ext>
      </x:extLst>
    </x:cfRule>
  </x:conditionalFormatting>
  <x:dataValidations count="5">
    <x:dataValidation type="list" sqref="D6:D75">
      <x:formula1>'Справочники'!$A$5:$A$14</x:formula1>
    </x:dataValidation>
    <x:dataValidation type="list" sqref="E6:E75">
      <x:formula1>'Справочники'!$D$5:$D$12</x:formula1>
    </x:dataValidation>
    <x:dataValidation type="list" sqref="F6:F75">
      <x:formula1>'Справочники'!$G$5:$G$12</x:formula1>
    </x:dataValidation>
    <x:dataValidation type="list" sqref="G6:G75">
      <x:formula1>'Справочники'!$J$5:$J$12</x:formula1>
    </x:dataValidation>
    <x:dataValidation type="list" sqref="I6:I75">
      <x:formula1>'Справочники'!$M$5:$M$9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dfbdcd3c6fe41f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5" id="{9F90DBC4-1BEB-6A04-2B35-71C5A66B01DE}">
            <x14:dataBar gradient="1">
              <x14:cfvo type="min"/>
              <x14:cfvo type="max"/>
              <x14:fillColor rgb="FF2F6B5C"/>
            </x14:dataBar>
          </x14:cfRule>
          <xm:sqref>O6:O75</xm:sqref>
        </x14:conditionalFormatting>
      </x14:conditionalFormattings>
    </x:ext>
  </x:extLst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1" hidden="0" customWidth="1"/>
    <x:col min="3" max="3" width="20" hidden="0" customWidth="1"/>
    <x:col min="4" max="4" width="18" hidden="0" customWidth="1"/>
    <x:col min="5" max="5" width="20" hidden="0" customWidth="1"/>
    <x:col min="6" max="6" width="16" hidden="0" customWidth="1"/>
    <x:col min="7" max="7" width="20" hidden="0" customWidth="1"/>
    <x:col min="8" max="8" width="25" hidden="0" customWidth="1"/>
    <x:col min="9" max="9" width="11" hidden="0" customWidth="1"/>
    <x:col min="10" max="10" width="40" hidden="0" customWidth="1"/>
    <x:col min="11" max="11" width="28" hidden="0" customWidth="1"/>
    <x:col min="12" max="12" width="20" hidden="0" customWidth="1"/>
    <x:col min="13" max="13" width="48" hidden="0" customWidth="1"/>
    <x:col min="14" max="14" width="14" hidden="0" customWidth="1"/>
    <x:col min="15" max="15" width="13" hidden="0" customWidth="1"/>
    <x:col min="16" max="16" width="34" hidden="0" customWidth="1"/>
  </x:cols>
  <x:sheetData>
    <x:row r="1" ht="38" customHeight="1">
      <x:c r="A1" s="3" t="str">
        <x:v>API CONTRACTS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2" customHeight="1">
      <x:c r="A2" s="7" t="str">
        <x:v>Delivery layer · Schema sources, DTOs, fixtures, compatibility and open cross-domain decisions.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3">
      <x:c r="A3" s="12" t="e">
        <x:f>HYPERLINK("#'Паук'!A1","← Вернуться к пауку")</x:f>
        <x:v>HYPERLINK is not implemented. linkLocation=#'Паук'!A1, friendlyName=← Вернуться к пауку</x:v>
      </x:c>
      <x:c r="B3" s="12"/>
      <x:c r="C3" t="str">
        <x:v>Прогресс</x:v>
      </x:c>
      <x:c r="E3" s="15" t="n">
        <x:f>IFERROR(SUM(O6:O75)/COUNTA(B6:B75),0)</x:f>
        <x:v>0.32430555555555574</x:v>
      </x:c>
      <x:c r="F3" s="15"/>
      <x:c r="G3" t="str">
        <x:v>Открытые P0/P1</x:v>
      </x:c>
      <x:c r="I3" s="18" t="n">
        <x:f>COUNTIFS(I6:I75,"P0",O6:O75,"&lt;1")+COUNTIFS(I6:I75,"P1",O6:O75,"&lt;1")</x:f>
        <x:v>17</x:v>
      </x:c>
      <x:c r="J3" s="18"/>
      <x:c r="K3" t="str">
        <x:v>Runtime отсутствует</x:v>
      </x:c>
      <x:c r="M3" s="21" t="n">
        <x:f>COUNTIF(F6:F75,"Отсутствует")</x:f>
        <x:v>12</x:v>
      </x:c>
      <x:c r="N3" s="21"/>
      <x:c r="O3" s="24" t="e">
        <x:f>HYPERLINK("#'Реестр файлов'!A1","Реестр файлов →")</x:f>
        <x:v>HYPERLINK is not implemented. linkLocation=#'Реестр файлов'!A1, friendlyName=Реестр файлов →</x:v>
      </x:c>
      <x:c r="P3" s="24"/>
    </x:row>
    <x:row r="5">
      <x:c r="A5" s="27" t="str">
        <x:v>ID</x:v>
      </x:c>
      <x:c r="B5" s="27" t="str">
        <x:v>Подсистема / deliverable</x:v>
      </x:c>
      <x:c r="C5" s="27" t="str">
        <x:v>Тип</x:v>
      </x:c>
      <x:c r="D5" s="27" t="str">
        <x:v>Артефакт</x:v>
      </x:c>
      <x:c r="E5" s="27" t="str">
        <x:v>Документация</x:v>
      </x:c>
      <x:c r="F5" s="27" t="str">
        <x:v>Runtime</x:v>
      </x:c>
      <x:c r="G5" s="27" t="str">
        <x:v>Проверки</x:v>
      </x:c>
      <x:c r="H5" s="27" t="str">
        <x:v>Gate / authority</x:v>
      </x:c>
      <x:c r="I5" s="27" t="str">
        <x:v>Приоритет</x:v>
      </x:c>
      <x:c r="J5" s="27" t="str">
        <x:v>Следующее действие</x:v>
      </x:c>
      <x:c r="K5" s="27" t="str">
        <x:v>Блокер</x:v>
      </x:c>
      <x:c r="L5" s="27" t="str">
        <x:v>Owner</x:v>
      </x:c>
      <x:c r="M5" s="27" t="str">
        <x:v>Источник / путь</x:v>
      </x:c>
      <x:c r="N5" s="27" t="str">
        <x:v>Обновлено</x:v>
      </x:c>
      <x:c r="O5" s="27" t="str">
        <x:v>Готовность</x:v>
      </x:c>
      <x:c r="P5" s="27" t="str">
        <x:v>Комментарий</x:v>
      </x:c>
    </x:row>
    <x:row r="6" ht="44" customHeight="1">
      <x:c r="A6" s="38" t="str">
        <x:v>API-01</x:v>
      </x:c>
      <x:c r="B6" s="35" t="str">
        <x:v>API Contracts Workflow</x:v>
      </x:c>
      <x:c r="C6" s="35" t="str">
        <x:v>Governance</x:v>
      </x:c>
      <x:c r="D6" s="41" t="str">
        <x:v>Готово</x:v>
      </x:c>
      <x:c r="E6" s="41" t="str">
        <x:v>Approved</x:v>
      </x:c>
      <x:c r="F6" s="41" t="str">
        <x:v>Не требуется</x:v>
      </x:c>
      <x:c r="G6" s="41" t="str">
        <x:v>Текущие зелёные</x:v>
      </x:c>
      <x:c r="H6" s="41" t="str">
        <x:v>CI/codegen</x:v>
      </x:c>
      <x:c r="I6" s="41" t="str">
        <x:v>P0</x:v>
      </x:c>
      <x:c r="J6" s="35" t="str">
        <x:v>Поддерживать compatibility policy</x:v>
      </x:c>
      <x:c r="K6" s="35" t="str"/>
      <x:c r="L6" s="35" t="str">
        <x:v>API Platform</x:v>
      </x:c>
      <x:c r="M6" s="35" t="str">
        <x:v>docs/api/API_CONTRACTS_WORKFLOW.md</x:v>
      </x:c>
      <x:c r="N6" s="44" t="n">
        <x:v>46250</x:v>
      </x:c>
      <x:c r="O6" s="47" t="n">
        <x:f>IF(B6="","",AVERAGE(IFERROR(VLOOKUP(D6,'Справочники'!$A$5:$B$14,2,FALSE),0),IFERROR(VLOOKUP(E6,'Справочники'!$D$5:$E$12,2,FALSE),0),IFERROR(VLOOKUP(F6,'Справочники'!$G$5:$H$12,2,FALSE),0),IFERROR(VLOOKUP(G6,'Справочники'!$J$5:$K$12,2,FALSE),0)))</x:f>
        <x:v>0.975</x:v>
      </x:c>
      <x:c r="P6" s="35" t="str"/>
    </x:row>
    <x:row r="7" ht="44" customHeight="1">
      <x:c r="A7" s="39" t="str">
        <x:v>API-02</x:v>
      </x:c>
      <x:c r="B7" s="36" t="str">
        <x:v>BCK-03 API Contract Standard</x:v>
      </x:c>
      <x:c r="C7" s="36" t="str">
        <x:v>Backend spec</x:v>
      </x:c>
      <x:c r="D7" s="42" t="str">
        <x:v>Draft</x:v>
      </x:c>
      <x:c r="E7" s="42" t="str">
        <x:v>Draft</x:v>
      </x:c>
      <x:c r="F7" s="42" t="str">
        <x:v>Отсутствует</x:v>
      </x:c>
      <x:c r="G7" s="42" t="str">
        <x:v>Не запускались</x:v>
      </x:c>
      <x:c r="H7" s="42" t="str">
        <x:v>Review required</x:v>
      </x:c>
      <x:c r="I7" s="42" t="str">
        <x:v>P0</x:v>
      </x:c>
      <x:c r="J7" s="36" t="str">
        <x:v>Закрыть review map и DoR</x:v>
      </x:c>
      <x:c r="K7" s="36" t="str">
        <x:v>BCK-01</x:v>
      </x:c>
      <x:c r="L7" s="36" t="str">
        <x:v>API Platform</x:v>
      </x:c>
      <x:c r="M7" s="36" t="str">
        <x:v>docs/product/BACKEND_API_CONTRACT_STANDARD.md</x:v>
      </x:c>
      <x:c r="N7" s="45" t="n">
        <x:v>46250</x:v>
      </x:c>
      <x:c r="O7" s="48" t="n">
        <x:f>IF(B7="","",AVERAGE(IFERROR(VLOOKUP(D7,'Справочники'!$A$5:$B$14,2,FALSE),0),IFERROR(VLOOKUP(E7,'Справочники'!$D$5:$E$12,2,FALSE),0),IFERROR(VLOOKUP(F7,'Справочники'!$G$5:$H$12,2,FALSE),0),IFERROR(VLOOKUP(G7,'Справочники'!$J$5:$K$12,2,FALSE),0)))</x:f>
        <x:v>0.1375</x:v>
      </x:c>
      <x:c r="P7" s="36" t="str"/>
    </x:row>
    <x:row r="8" ht="44" customHeight="1">
      <x:c r="A8" s="39" t="str">
        <x:v>API-03</x:v>
      </x:c>
      <x:c r="B8" s="36" t="str">
        <x:v>api_contracts library (14 files)</x:v>
      </x:c>
      <x:c r="C8" s="36" t="str">
        <x:v>Shared package</x:v>
      </x:c>
      <x:c r="D8" s="42" t="str">
        <x:v>Готово local/mock</x:v>
      </x:c>
      <x:c r="E8" s="42" t="str">
        <x:v>Approved</x:v>
      </x:c>
      <x:c r="F8" s="42" t="str">
        <x:v>Pure domain</x:v>
      </x:c>
      <x:c r="G8" s="42" t="str">
        <x:v>Исторические зелёные</x:v>
      </x:c>
      <x:c r="H8" s="42" t="str">
        <x:v>Booking v1 only</x:v>
      </x:c>
      <x:c r="I8" s="42" t="str">
        <x:v>P0</x:v>
      </x:c>
      <x:c r="J8" s="36" t="str">
        <x:v>Не обобщать готовность на другие domains</x:v>
      </x:c>
      <x:c r="K8" s="36" t="str">
        <x:v>Non-Booking contracts absent</x:v>
      </x:c>
      <x:c r="L8" s="36" t="str">
        <x:v>API Platform</x:v>
      </x:c>
      <x:c r="M8" s="36" t="str">
        <x:v>packages/api_contracts/lib</x:v>
      </x:c>
      <x:c r="N8" s="45" t="n">
        <x:v>46250</x:v>
      </x:c>
      <x:c r="O8" s="48" t="n">
        <x:f>IF(B8="","",AVERAGE(IFERROR(VLOOKUP(D8,'Справочники'!$A$5:$B$14,2,FALSE),0),IFERROR(VLOOKUP(E8,'Справочники'!$D$5:$E$12,2,FALSE),0),IFERROR(VLOOKUP(F8,'Справочники'!$G$5:$H$12,2,FALSE),0),IFERROR(VLOOKUP(G8,'Справочники'!$J$5:$K$12,2,FALSE),0)))</x:f>
        <x:v>0.7</x:v>
      </x:c>
      <x:c r="P8" s="36" t="str"/>
    </x:row>
    <x:row r="9" ht="44" customHeight="1">
      <x:c r="A9" s="39" t="str">
        <x:v>API-04</x:v>
      </x:c>
      <x:c r="B9" s="36" t="str">
        <x:v>Booking v1 JSON Schemas</x:v>
      </x:c>
      <x:c r="C9" s="36" t="str">
        <x:v>Wire contract</x:v>
      </x:c>
      <x:c r="D9" s="42" t="str">
        <x:v>Готово</x:v>
      </x:c>
      <x:c r="E9" s="42" t="str">
        <x:v>Approved</x:v>
      </x:c>
      <x:c r="F9" s="42" t="str">
        <x:v>Pure domain</x:v>
      </x:c>
      <x:c r="G9" s="42" t="str">
        <x:v>Исторические зелёные</x:v>
      </x:c>
      <x:c r="H9" s="42" t="str">
        <x:v>ECL-03B</x:v>
      </x:c>
      <x:c r="I9" s="42" t="str">
        <x:v>P0</x:v>
      </x:c>
      <x:c r="J9" s="36" t="str">
        <x:v>Сохранять forward/fail-closed compatibility</x:v>
      </x:c>
      <x:c r="K9" s="36" t="str"/>
      <x:c r="L9" s="36" t="str">
        <x:v>Booking/API</x:v>
      </x:c>
      <x:c r="M9" s="36" t="str">
        <x:v>packages/api_contracts/schema/booking/v1</x:v>
      </x:c>
      <x:c r="N9" s="45" t="n">
        <x:v>46250</x:v>
      </x:c>
      <x:c r="O9" s="48" t="n">
        <x:f>IF(B9="","",AVERAGE(IFERROR(VLOOKUP(D9,'Справочники'!$A$5:$B$14,2,FALSE),0),IFERROR(VLOOKUP(E9,'Справочники'!$D$5:$E$12,2,FALSE),0),IFERROR(VLOOKUP(F9,'Справочники'!$G$5:$H$12,2,FALSE),0),IFERROR(VLOOKUP(G9,'Справочники'!$J$5:$K$12,2,FALSE),0)))</x:f>
        <x:v>0.75</x:v>
      </x:c>
      <x:c r="P9" s="36" t="str"/>
    </x:row>
    <x:row r="10" ht="44" customHeight="1">
      <x:c r="A10" s="39" t="str">
        <x:v>API-05</x:v>
      </x:c>
      <x:c r="B10" s="36" t="str">
        <x:v>Booking fixtures valid/invalid/forward</x:v>
      </x:c>
      <x:c r="C10" s="36" t="str">
        <x:v>Fixture</x:v>
      </x:c>
      <x:c r="D10" s="42" t="str">
        <x:v>Готово</x:v>
      </x:c>
      <x:c r="E10" s="42" t="str">
        <x:v>Approved</x:v>
      </x:c>
      <x:c r="F10" s="42" t="str">
        <x:v>Pure domain</x:v>
      </x:c>
      <x:c r="G10" s="42" t="str">
        <x:v>Исторические зелёные</x:v>
      </x:c>
      <x:c r="H10" s="42" t="str">
        <x:v>Fixture verification</x:v>
      </x:c>
      <x:c r="I10" s="42" t="str">
        <x:v>P0</x:v>
      </x:c>
      <x:c r="J10" s="36" t="str">
        <x:v>Исправить idempotency fixture conflict перед backend</x:v>
      </x:c>
      <x:c r="K10" s="36" t="str">
        <x:v>BCK-04 finding</x:v>
      </x:c>
      <x:c r="L10" s="36" t="str">
        <x:v>Booking/API</x:v>
      </x:c>
      <x:c r="M10" s="36" t="str">
        <x:v>packages/api_contracts/schema/booking/v1/fixtures</x:v>
      </x:c>
      <x:c r="N10" s="45" t="n">
        <x:v>46250</x:v>
      </x:c>
      <x:c r="O10" s="48" t="n">
        <x:f>IF(B10="","",AVERAGE(IFERROR(VLOOKUP(D10,'Справочники'!$A$5:$B$14,2,FALSE),0),IFERROR(VLOOKUP(E10,'Справочники'!$D$5:$E$12,2,FALSE),0),IFERROR(VLOOKUP(F10,'Справочники'!$G$5:$H$12,2,FALSE),0),IFERROR(VLOOKUP(G10,'Справочники'!$J$5:$K$12,2,FALSE),0)))</x:f>
        <x:v>0.75</x:v>
      </x:c>
      <x:c r="P10" s="36" t="str"/>
    </x:row>
    <x:row r="11" ht="44" customHeight="1">
      <x:c r="A11" s="39" t="str">
        <x:v>API-06</x:v>
      </x:c>
      <x:c r="B11" s="36" t="str">
        <x:v>Booking Dart DTOs</x:v>
      </x:c>
      <x:c r="C11" s="36" t="str">
        <x:v>DTO</x:v>
      </x:c>
      <x:c r="D11" s="42" t="str">
        <x:v>Готово</x:v>
      </x:c>
      <x:c r="E11" s="42" t="str">
        <x:v>Approved</x:v>
      </x:c>
      <x:c r="F11" s="42" t="str">
        <x:v>Pure domain</x:v>
      </x:c>
      <x:c r="G11" s="42" t="str">
        <x:v>Исторические зелёные</x:v>
      </x:c>
      <x:c r="H11" s="42" t="str">
        <x:v>ECL-03B</x:v>
      </x:c>
      <x:c r="I11" s="42" t="str">
        <x:v>P0</x:v>
      </x:c>
      <x:c r="J11" s="36" t="str">
        <x:v>Синхронизировать только через schema changes</x:v>
      </x:c>
      <x:c r="K11" s="36" t="str"/>
      <x:c r="L11" s="36" t="str">
        <x:v>Booking/API</x:v>
      </x:c>
      <x:c r="M11" s="36" t="str">
        <x:v>packages/api_contracts/lib/src/dto</x:v>
      </x:c>
      <x:c r="N11" s="45" t="n">
        <x:v>46250</x:v>
      </x:c>
      <x:c r="O11" s="48" t="n">
        <x:f>IF(B11="","",AVERAGE(IFERROR(VLOOKUP(D11,'Справочники'!$A$5:$B$14,2,FALSE),0),IFERROR(VLOOKUP(E11,'Справочники'!$D$5:$E$12,2,FALSE),0),IFERROR(VLOOKUP(F11,'Справочники'!$G$5:$H$12,2,FALSE),0),IFERROR(VLOOKUP(G11,'Справочники'!$J$5:$K$12,2,FALSE),0)))</x:f>
        <x:v>0.75</x:v>
      </x:c>
      <x:c r="P11" s="36" t="str"/>
    </x:row>
    <x:row r="12" ht="44" customHeight="1">
      <x:c r="A12" s="39" t="str">
        <x:v>API-07</x:v>
      </x:c>
      <x:c r="B12" s="36" t="str">
        <x:v>Clients</x:v>
      </x:c>
      <x:c r="C12" s="36" t="str">
        <x:v>Generated/handwritten clients</x:v>
      </x:c>
      <x:c r="D12" s="42" t="str">
        <x:v>Отсутствует</x:v>
      </x:c>
      <x:c r="E12" s="42" t="str">
        <x:v>Draft</x:v>
      </x:c>
      <x:c r="F12" s="42" t="str">
        <x:v>Отсутствует</x:v>
      </x:c>
      <x:c r="G12" s="42" t="str">
        <x:v>Не запускались</x:v>
      </x:c>
      <x:c r="H12" s="42" t="str">
        <x:v>BCK-03 + backend</x:v>
      </x:c>
      <x:c r="I12" s="42" t="str">
        <x:v>P1</x:v>
      </x:c>
      <x:c r="J12" s="36" t="str">
        <x:v>Определить generation/transport boundary</x:v>
      </x:c>
      <x:c r="K12" s="36" t="str">
        <x:v>Backend absent</x:v>
      </x:c>
      <x:c r="L12" s="36" t="str">
        <x:v>API Platform</x:v>
      </x:c>
      <x:c r="M12" s="36" t="str">
        <x:v>packages/api_contracts/lib/src/clients</x:v>
      </x:c>
      <x:c r="N12" s="45"/>
      <x:c r="O12" s="48" t="n">
        <x:f>IF(B12="","",AVERAGE(IFERROR(VLOOKUP(D12,'Справочники'!$A$5:$B$14,2,FALSE),0),IFERROR(VLOOKUP(E12,'Справочники'!$D$5:$E$12,2,FALSE),0),IFERROR(VLOOKUP(F12,'Справочники'!$G$5:$H$12,2,FALSE),0),IFERROR(VLOOKUP(G12,'Справочники'!$J$5:$K$12,2,FALSE),0)))</x:f>
        <x:v>0.0625</x:v>
      </x:c>
      <x:c r="P12" s="36" t="str"/>
    </x:row>
    <x:row r="13" ht="44" customHeight="1">
      <x:c r="A13" s="39" t="str">
        <x:v>API-08</x:v>
      </x:c>
      <x:c r="B13" s="36" t="str">
        <x:v>Generated output</x:v>
      </x:c>
      <x:c r="C13" s="36" t="str">
        <x:v>Codegen</x:v>
      </x:c>
      <x:c r="D13" s="42" t="str">
        <x:v>Отсутствует</x:v>
      </x:c>
      <x:c r="E13" s="42" t="str">
        <x:v>Approved</x:v>
      </x:c>
      <x:c r="F13" s="42" t="str">
        <x:v>Отсутствует</x:v>
      </x:c>
      <x:c r="G13" s="42" t="str">
        <x:v>Не запускались</x:v>
      </x:c>
      <x:c r="H13" s="42" t="str">
        <x:v>Codegen workflow</x:v>
      </x:c>
      <x:c r="I13" s="42" t="str">
        <x:v>P2</x:v>
      </x:c>
      <x:c r="J13" s="36" t="str">
        <x:v>Не редактировать вручную; генерировать по approved source</x:v>
      </x:c>
      <x:c r="K13" s="36" t="str">
        <x:v>Generator not implemented</x:v>
      </x:c>
      <x:c r="L13" s="36" t="str">
        <x:v>API Platform</x:v>
      </x:c>
      <x:c r="M13" s="36" t="str">
        <x:v>packages/api_contracts/lib/src/generated</x:v>
      </x:c>
      <x:c r="N13" s="45"/>
      <x:c r="O13" s="48" t="n">
        <x:f>IF(B13="","",AVERAGE(IFERROR(VLOOKUP(D13,'Справочники'!$A$5:$B$14,2,FALSE),0),IFERROR(VLOOKUP(E13,'Справочники'!$D$5:$E$12,2,FALSE),0),IFERROR(VLOOKUP(F13,'Справочники'!$G$5:$H$12,2,FALSE),0),IFERROR(VLOOKUP(G13,'Справочники'!$J$5:$K$12,2,FALSE),0)))</x:f>
        <x:v>0.225</x:v>
      </x:c>
      <x:c r="P13" s="36" t="str"/>
    </x:row>
    <x:row r="14" ht="44" customHeight="1">
      <x:c r="A14" s="39" t="str">
        <x:v>API-09</x:v>
      </x:c>
      <x:c r="B14" s="36" t="str">
        <x:v>Non-Booking schemas</x:v>
      </x:c>
      <x:c r="C14" s="36" t="str">
        <x:v>Wire contracts</x:v>
      </x:c>
      <x:c r="D14" s="42" t="str">
        <x:v>План</x:v>
      </x:c>
      <x:c r="E14" s="42" t="str">
        <x:v>Draft</x:v>
      </x:c>
      <x:c r="F14" s="42" t="str">
        <x:v>Отсутствует</x:v>
      </x:c>
      <x:c r="G14" s="42" t="str">
        <x:v>Не запускались</x:v>
      </x:c>
      <x:c r="H14" s="42" t="str">
        <x:v>Per-domain BCK specs</x:v>
      </x:c>
      <x:c r="I14" s="42" t="str">
        <x:v>P1</x:v>
      </x:c>
      <x:c r="J14" s="36" t="str">
        <x:v>Добавлять domain-by-domain</x:v>
      </x:c>
      <x:c r="K14" s="36" t="str">
        <x:v>BCK-06–22</x:v>
      </x:c>
      <x:c r="L14" s="36" t="str">
        <x:v>API Platform</x:v>
      </x:c>
      <x:c r="M14" s="36" t="str">
        <x:v>packages/api_contracts/schema</x:v>
      </x:c>
      <x:c r="N14" s="45"/>
      <x:c r="O14" s="48" t="n">
        <x:f>IF(B14="","",AVERAGE(IFERROR(VLOOKUP(D14,'Справочники'!$A$5:$B$14,2,FALSE),0),IFERROR(VLOOKUP(E14,'Справочники'!$D$5:$E$12,2,FALSE),0),IFERROR(VLOOKUP(F14,'Справочники'!$G$5:$H$12,2,FALSE),0),IFERROR(VLOOKUP(G14,'Справочники'!$J$5:$K$12,2,FALSE),0)))</x:f>
        <x:v>0.0875</x:v>
      </x:c>
      <x:c r="P14" s="36" t="str"/>
    </x:row>
    <x:row r="15" ht="44" customHeight="1">
      <x:c r="A15" s="39" t="str">
        <x:v>API-10</x:v>
      </x:c>
      <x:c r="B15" s="36" t="str">
        <x:v>Event/outbox envelope</x:v>
      </x:c>
      <x:c r="C15" s="36" t="str">
        <x:v>Cross-domain contract</x:v>
      </x:c>
      <x:c r="D15" s="42" t="str">
        <x:v>План</x:v>
      </x:c>
      <x:c r="E15" s="42" t="str">
        <x:v>Draft</x:v>
      </x:c>
      <x:c r="F15" s="42" t="str">
        <x:v>Отсутствует</x:v>
      </x:c>
      <x:c r="G15" s="42" t="str">
        <x:v>Не запускались</x:v>
      </x:c>
      <x:c r="H15" s="42" t="str">
        <x:v>OD-09 open</x:v>
      </x:c>
      <x:c r="I15" s="42" t="str">
        <x:v>P0</x:v>
      </x:c>
      <x:c r="J15" s="36" t="str">
        <x:v>Решить ordering/dedupe/replay/retention</x:v>
      </x:c>
      <x:c r="K15" s="36" t="str">
        <x:v>OD-09</x:v>
      </x:c>
      <x:c r="L15" s="36" t="str">
        <x:v>API Platform</x:v>
      </x:c>
      <x:c r="M15" s="36" t="str">
        <x:v>docs/product/RECHARGE_BACKEND_DELIVERY_MAP.md</x:v>
      </x:c>
      <x:c r="N15" s="45"/>
      <x:c r="O15" s="48" t="n">
        <x:f>IF(B15="","",AVERAGE(IFERROR(VLOOKUP(D15,'Справочники'!$A$5:$B$14,2,FALSE),0),IFERROR(VLOOKUP(E15,'Справочники'!$D$5:$E$12,2,FALSE),0),IFERROR(VLOOKUP(F15,'Справочники'!$G$5:$H$12,2,FALSE),0),IFERROR(VLOOKUP(G15,'Справочники'!$J$5:$K$12,2,FALSE),0)))</x:f>
        <x:v>0.0875</x:v>
      </x:c>
      <x:c r="P15" s="36" t="str"/>
    </x:row>
    <x:row r="16" ht="44" customHeight="1">
      <x:c r="A16" s="39" t="str">
        <x:v>API-11</x:v>
      </x:c>
      <x:c r="B16" s="36" t="str">
        <x:v>LocalizedText wire format</x:v>
      </x:c>
      <x:c r="C16" s="36" t="str">
        <x:v>Reference contract</x:v>
      </x:c>
      <x:c r="D16" s="42" t="str">
        <x:v>План</x:v>
      </x:c>
      <x:c r="E16" s="42" t="str">
        <x:v>Draft</x:v>
      </x:c>
      <x:c r="F16" s="42" t="str">
        <x:v>Отсутствует</x:v>
      </x:c>
      <x:c r="G16" s="42" t="str">
        <x:v>Не запускались</x:v>
      </x:c>
      <x:c r="H16" s="42" t="str">
        <x:v>OD-10 open</x:v>
      </x:c>
      <x:c r="I16" s="42" t="str">
        <x:v>P0</x:v>
      </x:c>
      <x:c r="J16" s="36" t="str">
        <x:v>Принять format/fallback/revision policy</x:v>
      </x:c>
      <x:c r="K16" s="36" t="str">
        <x:v>OD-10</x:v>
      </x:c>
      <x:c r="L16" s="36" t="str">
        <x:v>Reference Data</x:v>
      </x:c>
      <x:c r="M16" s="36" t="str">
        <x:v>docs/product/RECHARGE_BACKEND_DELIVERY_MAP.md</x:v>
      </x:c>
      <x:c r="N16" s="45"/>
      <x:c r="O16" s="48" t="n">
        <x:f>IF(B16="","",AVERAGE(IFERROR(VLOOKUP(D16,'Справочники'!$A$5:$B$14,2,FALSE),0),IFERROR(VLOOKUP(E16,'Справочники'!$D$5:$E$12,2,FALSE),0),IFERROR(VLOOKUP(F16,'Справочники'!$G$5:$H$12,2,FALSE),0),IFERROR(VLOOKUP(G16,'Справочники'!$J$5:$K$12,2,FALSE),0)))</x:f>
        <x:v>0.0875</x:v>
      </x:c>
      <x:c r="P16" s="36" t="str"/>
    </x:row>
    <x:row r="17" ht="44" customHeight="1">
      <x:c r="A17" s="39" t="str">
        <x:v>API-12</x:v>
      </x:c>
      <x:c r="B17" s="36" t="str">
        <x:v>Import identity mapping</x:v>
      </x:c>
      <x:c r="C17" s="36" t="str">
        <x:v>Migration contract</x:v>
      </x:c>
      <x:c r="D17" s="42" t="str">
        <x:v>План</x:v>
      </x:c>
      <x:c r="E17" s="42" t="str">
        <x:v>Draft</x:v>
      </x:c>
      <x:c r="F17" s="42" t="str">
        <x:v>Отсутствует</x:v>
      </x:c>
      <x:c r="G17" s="42" t="str">
        <x:v>Не запускались</x:v>
      </x:c>
      <x:c r="H17" s="42" t="str">
        <x:v>OD-04 open</x:v>
      </x:c>
      <x:c r="I17" s="42" t="str">
        <x:v>P0</x:v>
      </x:c>
      <x:c r="J17" s="36" t="str">
        <x:v>Определить checkpoint/dedupe/conflict/rollback</x:v>
      </x:c>
      <x:c r="K17" s="36" t="str">
        <x:v>OD-04</x:v>
      </x:c>
      <x:c r="L17" s="36" t="str">
        <x:v>Mobile Platform</x:v>
      </x:c>
      <x:c r="M17" s="36" t="str">
        <x:v>docs/product/RECHARGE_BACKEND_DELIVERY_MAP.md</x:v>
      </x:c>
      <x:c r="N17" s="45"/>
      <x:c r="O17" s="48" t="n">
        <x:f>IF(B17="","",AVERAGE(IFERROR(VLOOKUP(D17,'Справочники'!$A$5:$B$14,2,FALSE),0),IFERROR(VLOOKUP(E17,'Справочники'!$D$5:$E$12,2,FALSE),0),IFERROR(VLOOKUP(F17,'Справочники'!$G$5:$H$12,2,FALSE),0),IFERROR(VLOOKUP(G17,'Справочники'!$J$5:$K$12,2,FALSE),0)))</x:f>
        <x:v>0.0875</x:v>
      </x:c>
      <x:c r="P17" s="36" t="str"/>
    </x:row>
    <x:row r="18" ht="44" customHeight="1">
      <x:c r="A18" s="39" t="str">
        <x:v>API-13</x:v>
      </x:c>
      <x:c r="B18" s="36" t="str">
        <x:v>Contract tests (3 Dart files)</x:v>
      </x:c>
      <x:c r="C18" s="36" t="str">
        <x:v>Test suite</x:v>
      </x:c>
      <x:c r="D18" s="42" t="str">
        <x:v>Готово local/mock</x:v>
      </x:c>
      <x:c r="E18" s="42" t="str">
        <x:v>Approved</x:v>
      </x:c>
      <x:c r="F18" s="42" t="str">
        <x:v>Pure domain</x:v>
      </x:c>
      <x:c r="G18" s="42" t="str">
        <x:v>Исторические зелёные</x:v>
      </x:c>
      <x:c r="H18" s="42" t="str">
        <x:v>Package gate</x:v>
      </x:c>
      <x:c r="I18" s="42" t="str">
        <x:v>P0</x:v>
      </x:c>
      <x:c r="J18" s="36" t="str">
        <x:v>Расширять с каждым schema domain</x:v>
      </x:c>
      <x:c r="K18" s="36" t="str"/>
      <x:c r="L18" s="36" t="str">
        <x:v>API Platform</x:v>
      </x:c>
      <x:c r="M18" s="36" t="str">
        <x:v>packages/api_contracts/test</x:v>
      </x:c>
      <x:c r="N18" s="45" t="n">
        <x:v>46250</x:v>
      </x:c>
      <x:c r="O18" s="48" t="n">
        <x:f>IF(B18="","",AVERAGE(IFERROR(VLOOKUP(D18,'Справочники'!$A$5:$B$14,2,FALSE),0),IFERROR(VLOOKUP(E18,'Справочники'!$D$5:$E$12,2,FALSE),0),IFERROR(VLOOKUP(F18,'Справочники'!$G$5:$H$12,2,FALSE),0),IFERROR(VLOOKUP(G18,'Справочники'!$J$5:$K$12,2,FALSE),0)))</x:f>
        <x:v>0.7</x:v>
      </x:c>
      <x:c r="P18" s="36" t="str"/>
    </x:row>
    <x:row r="19" ht="44" customHeight="1">
      <x:c r="A19" s="39" t="str">
        <x:v>API-DEC-01</x:v>
      </x:c>
      <x:c r="B19" s="36" t="str">
        <x:v>Transport mapping</x:v>
      </x:c>
      <x:c r="C19" s="36" t="str">
        <x:v>Open API decision</x:v>
      </x:c>
      <x:c r="D19" s="42" t="str">
        <x:v>План</x:v>
      </x:c>
      <x:c r="E19" s="42" t="str">
        <x:v>Draft</x:v>
      </x:c>
      <x:c r="F19" s="42" t="str">
        <x:v>Отсутствует</x:v>
      </x:c>
      <x:c r="G19" s="42" t="str">
        <x:v>Не запускались</x:v>
      </x:c>
      <x:c r="H19" s="42" t="str">
        <x:v>BCK-03 review/implementation</x:v>
      </x:c>
      <x:c r="I19" s="42" t="str">
        <x:v>P1</x:v>
      </x:c>
      <x:c r="J19" s="36" t="str">
        <x:v>Resolve with named owners before dependent runtime</x:v>
      </x:c>
      <x:c r="K19" s="36" t="str">
        <x:v>Open</x:v>
      </x:c>
      <x:c r="L19" s="36" t="str">
        <x:v>API Platform</x:v>
      </x:c>
      <x:c r="M19" s="36" t="str">
        <x:v>docs/product/BACKEND_API_CONTRACT_STANDARD.md</x:v>
      </x:c>
      <x:c r="N19" s="45" t="n">
        <x:v>46250.5</x:v>
      </x:c>
      <x:c r="O19" s="48" t="n">
        <x:f>IF(B19="","",AVERAGE(IFERROR(VLOOKUP(D19,'Справочники'!$A$5:$B$14,2,FALSE),0),IFERROR(VLOOKUP(E19,'Справочники'!$D$5:$E$12,2,FALSE),0),IFERROR(VLOOKUP(F19,'Справочники'!$G$5:$H$12,2,FALSE),0),IFERROR(VLOOKUP(G19,'Справочники'!$J$5:$K$12,2,FALSE),0)))</x:f>
        <x:v>0.0875</x:v>
      </x:c>
      <x:c r="P19" s="36" t="str"/>
    </x:row>
    <x:row r="20" ht="44" customHeight="1">
      <x:c r="A20" s="39" t="str">
        <x:v>API-DEC-02</x:v>
      </x:c>
      <x:c r="B20" s="36" t="str">
        <x:v>Generator vs fixture consumers</x:v>
      </x:c>
      <x:c r="C20" s="36" t="str">
        <x:v>Open API decision</x:v>
      </x:c>
      <x:c r="D20" s="42" t="str">
        <x:v>План</x:v>
      </x:c>
      <x:c r="E20" s="42" t="str">
        <x:v>Draft</x:v>
      </x:c>
      <x:c r="F20" s="42" t="str">
        <x:v>Отсутствует</x:v>
      </x:c>
      <x:c r="G20" s="42" t="str">
        <x:v>Не запускались</x:v>
      </x:c>
      <x:c r="H20" s="42" t="str">
        <x:v>BCK-03 review/implementation</x:v>
      </x:c>
      <x:c r="I20" s="42" t="str">
        <x:v>P1</x:v>
      </x:c>
      <x:c r="J20" s="36" t="str">
        <x:v>Resolve with named owners before dependent runtime</x:v>
      </x:c>
      <x:c r="K20" s="36" t="str">
        <x:v>Open</x:v>
      </x:c>
      <x:c r="L20" s="36" t="str">
        <x:v>API Platform</x:v>
      </x:c>
      <x:c r="M20" s="36" t="str">
        <x:v>docs/product/BACKEND_API_CONTRACT_STANDARD.md</x:v>
      </x:c>
      <x:c r="N20" s="45" t="n">
        <x:v>46250.5</x:v>
      </x:c>
      <x:c r="O20" s="48" t="n">
        <x:f>IF(B20="","",AVERAGE(IFERROR(VLOOKUP(D20,'Справочники'!$A$5:$B$14,2,FALSE),0),IFERROR(VLOOKUP(E20,'Справочники'!$D$5:$E$12,2,FALSE),0),IFERROR(VLOOKUP(F20,'Справочники'!$G$5:$H$12,2,FALSE),0),IFERROR(VLOOKUP(G20,'Справочники'!$J$5:$K$12,2,FALSE),0)))</x:f>
        <x:v>0.0875</x:v>
      </x:c>
      <x:c r="P20" s="36" t="str"/>
    </x:row>
    <x:row r="21" ht="44" customHeight="1">
      <x:c r="A21" s="39" t="str">
        <x:v>API-DEC-03</x:v>
      </x:c>
      <x:c r="B21" s="36" t="str">
        <x:v>Request-hash algorithm</x:v>
      </x:c>
      <x:c r="C21" s="36" t="str">
        <x:v>Open API decision</x:v>
      </x:c>
      <x:c r="D21" s="42" t="str">
        <x:v>План</x:v>
      </x:c>
      <x:c r="E21" s="42" t="str">
        <x:v>Draft</x:v>
      </x:c>
      <x:c r="F21" s="42" t="str">
        <x:v>Отсутствует</x:v>
      </x:c>
      <x:c r="G21" s="42" t="str">
        <x:v>Не запускались</x:v>
      </x:c>
      <x:c r="H21" s="42" t="str">
        <x:v>BCK-03 review/implementation</x:v>
      </x:c>
      <x:c r="I21" s="42" t="str">
        <x:v>P0</x:v>
      </x:c>
      <x:c r="J21" s="36" t="str">
        <x:v>Resolve with named owners before dependent runtime</x:v>
      </x:c>
      <x:c r="K21" s="36" t="str">
        <x:v>Open</x:v>
      </x:c>
      <x:c r="L21" s="36" t="str">
        <x:v>API Platform</x:v>
      </x:c>
      <x:c r="M21" s="36" t="str">
        <x:v>docs/product/BACKEND_API_CONTRACT_STANDARD.md</x:v>
      </x:c>
      <x:c r="N21" s="45" t="n">
        <x:v>46250.5</x:v>
      </x:c>
      <x:c r="O21" s="48" t="n">
        <x:f>IF(B21="","",AVERAGE(IFERROR(VLOOKUP(D21,'Справочники'!$A$5:$B$14,2,FALSE),0),IFERROR(VLOOKUP(E21,'Справочники'!$D$5:$E$12,2,FALSE),0),IFERROR(VLOOKUP(F21,'Справочники'!$G$5:$H$12,2,FALSE),0),IFERROR(VLOOKUP(G21,'Справочники'!$J$5:$K$12,2,FALSE),0)))</x:f>
        <x:v>0.0875</x:v>
      </x:c>
      <x:c r="P21" s="36" t="str"/>
    </x:row>
    <x:row r="22" ht="44" customHeight="1">
      <x:c r="A22" s="39" t="str">
        <x:v>API-DEC-04</x:v>
      </x:c>
      <x:c r="B22" s="36" t="str">
        <x:v>Minimum-client/offline policy</x:v>
      </x:c>
      <x:c r="C22" s="36" t="str">
        <x:v>Open API decision</x:v>
      </x:c>
      <x:c r="D22" s="42" t="str">
        <x:v>План</x:v>
      </x:c>
      <x:c r="E22" s="42" t="str">
        <x:v>Draft</x:v>
      </x:c>
      <x:c r="F22" s="42" t="str">
        <x:v>Отсутствует</x:v>
      </x:c>
      <x:c r="G22" s="42" t="str">
        <x:v>Не запускались</x:v>
      </x:c>
      <x:c r="H22" s="42" t="str">
        <x:v>BCK-03 review/implementation</x:v>
      </x:c>
      <x:c r="I22" s="42" t="str">
        <x:v>P0</x:v>
      </x:c>
      <x:c r="J22" s="36" t="str">
        <x:v>Resolve with named owners before dependent runtime</x:v>
      </x:c>
      <x:c r="K22" s="36" t="str">
        <x:v>Open</x:v>
      </x:c>
      <x:c r="L22" s="36" t="str">
        <x:v>API Platform</x:v>
      </x:c>
      <x:c r="M22" s="36" t="str">
        <x:v>docs/product/BACKEND_API_CONTRACT_STANDARD.md</x:v>
      </x:c>
      <x:c r="N22" s="45" t="n">
        <x:v>46250.5</x:v>
      </x:c>
      <x:c r="O22" s="48" t="n">
        <x:f>IF(B22="","",AVERAGE(IFERROR(VLOOKUP(D22,'Справочники'!$A$5:$B$14,2,FALSE),0),IFERROR(VLOOKUP(E22,'Справочники'!$D$5:$E$12,2,FALSE),0),IFERROR(VLOOKUP(F22,'Справочники'!$G$5:$H$12,2,FALSE),0),IFERROR(VLOOKUP(G22,'Справочники'!$J$5:$K$12,2,FALSE),0)))</x:f>
        <x:v>0.0875</x:v>
      </x:c>
      <x:c r="P22" s="36" t="str"/>
    </x:row>
    <x:row r="23" ht="44" customHeight="1">
      <x:c r="A23" s="39" t="str">
        <x:v>API-DEC-05</x:v>
      </x:c>
      <x:c r="B23" s="36" t="str">
        <x:v>Non-Booking schema authority</x:v>
      </x:c>
      <x:c r="C23" s="36" t="str">
        <x:v>Open API decision</x:v>
      </x:c>
      <x:c r="D23" s="42" t="str">
        <x:v>План</x:v>
      </x:c>
      <x:c r="E23" s="42" t="str">
        <x:v>Draft</x:v>
      </x:c>
      <x:c r="F23" s="42" t="str">
        <x:v>Отсутствует</x:v>
      </x:c>
      <x:c r="G23" s="42" t="str">
        <x:v>Не запускались</x:v>
      </x:c>
      <x:c r="H23" s="42" t="str">
        <x:v>BCK-03 review/implementation</x:v>
      </x:c>
      <x:c r="I23" s="42" t="str">
        <x:v>P0</x:v>
      </x:c>
      <x:c r="J23" s="36" t="str">
        <x:v>Resolve with named owners before dependent runtime</x:v>
      </x:c>
      <x:c r="K23" s="36" t="str">
        <x:v>Open</x:v>
      </x:c>
      <x:c r="L23" s="36" t="str">
        <x:v>API Platform</x:v>
      </x:c>
      <x:c r="M23" s="36" t="str">
        <x:v>docs/product/BACKEND_API_CONTRACT_STANDARD.md</x:v>
      </x:c>
      <x:c r="N23" s="45" t="n">
        <x:v>46250.5</x:v>
      </x:c>
      <x:c r="O23" s="48" t="n">
        <x:f>IF(B23="","",AVERAGE(IFERROR(VLOOKUP(D23,'Справочники'!$A$5:$B$14,2,FALSE),0),IFERROR(VLOOKUP(E23,'Справочники'!$D$5:$E$12,2,FALSE),0),IFERROR(VLOOKUP(F23,'Справочники'!$G$5:$H$12,2,FALSE),0),IFERROR(VLOOKUP(G23,'Справочники'!$J$5:$K$12,2,FALSE),0)))</x:f>
        <x:v>0.0875</x:v>
      </x:c>
      <x:c r="P23" s="36" t="str"/>
    </x:row>
    <x:row r="24" ht="44" customHeight="1">
      <x:c r="A24" s="39"/>
      <x:c r="B24" s="36"/>
      <x:c r="C24" s="36"/>
      <x:c r="D24" s="42"/>
      <x:c r="E24" s="42"/>
      <x:c r="F24" s="42"/>
      <x:c r="G24" s="42"/>
      <x:c r="H24" s="42"/>
      <x:c r="I24" s="42"/>
      <x:c r="J24" s="36"/>
      <x:c r="K24" s="36"/>
      <x:c r="L24" s="36"/>
      <x:c r="M24" s="36"/>
      <x:c r="N24" s="45"/>
      <x:c r="O24" s="48" t="str">
        <x:f>IF(B24="","",AVERAGE(IFERROR(VLOOKUP(D24,'Справочники'!$A$5:$B$14,2,FALSE),0),IFERROR(VLOOKUP(E24,'Справочники'!$D$5:$E$12,2,FALSE),0),IFERROR(VLOOKUP(F24,'Справочники'!$G$5:$H$12,2,FALSE),0),IFERROR(VLOOKUP(G24,'Справочники'!$J$5:$K$12,2,FALSE),0)))</x:f>
      </x:c>
      <x:c r="P24" s="36"/>
    </x:row>
    <x:row r="25" ht="44" customHeight="1">
      <x:c r="A25" s="39"/>
      <x:c r="B25" s="36"/>
      <x:c r="C25" s="36"/>
      <x:c r="D25" s="42"/>
      <x:c r="E25" s="42"/>
      <x:c r="F25" s="42"/>
      <x:c r="G25" s="42"/>
      <x:c r="H25" s="42"/>
      <x:c r="I25" s="42"/>
      <x:c r="J25" s="36"/>
      <x:c r="K25" s="36"/>
      <x:c r="L25" s="36"/>
      <x:c r="M25" s="36"/>
      <x:c r="N25" s="45"/>
      <x:c r="O25" s="48" t="str">
        <x:f>IF(B25="","",AVERAGE(IFERROR(VLOOKUP(D25,'Справочники'!$A$5:$B$14,2,FALSE),0),IFERROR(VLOOKUP(E25,'Справочники'!$D$5:$E$12,2,FALSE),0),IFERROR(VLOOKUP(F25,'Справочники'!$G$5:$H$12,2,FALSE),0),IFERROR(VLOOKUP(G25,'Справочники'!$J$5:$K$12,2,FALSE),0)))</x:f>
      </x:c>
      <x:c r="P25" s="36"/>
    </x:row>
    <x:row r="26" ht="44" customHeight="1">
      <x:c r="A26" s="39"/>
      <x:c r="B26" s="36"/>
      <x:c r="C26" s="36"/>
      <x:c r="D26" s="42"/>
      <x:c r="E26" s="42"/>
      <x:c r="F26" s="42"/>
      <x:c r="G26" s="42"/>
      <x:c r="H26" s="42"/>
      <x:c r="I26" s="42"/>
      <x:c r="J26" s="36"/>
      <x:c r="K26" s="36"/>
      <x:c r="L26" s="36"/>
      <x:c r="M26" s="36"/>
      <x:c r="N26" s="45"/>
      <x:c r="O26" s="48" t="str">
        <x:f>IF(B26="","",AVERAGE(IFERROR(VLOOKUP(D26,'Справочники'!$A$5:$B$14,2,FALSE),0),IFERROR(VLOOKUP(E26,'Справочники'!$D$5:$E$12,2,FALSE),0),IFERROR(VLOOKUP(F26,'Справочники'!$G$5:$H$12,2,FALSE),0),IFERROR(VLOOKUP(G26,'Справочники'!$J$5:$K$12,2,FALSE),0)))</x:f>
      </x:c>
      <x:c r="P26" s="36"/>
    </x:row>
    <x:row r="27" ht="44" customHeight="1">
      <x:c r="A27" s="39"/>
      <x:c r="B27" s="36"/>
      <x:c r="C27" s="36"/>
      <x:c r="D27" s="42"/>
      <x:c r="E27" s="42"/>
      <x:c r="F27" s="42"/>
      <x:c r="G27" s="42"/>
      <x:c r="H27" s="42"/>
      <x:c r="I27" s="42"/>
      <x:c r="J27" s="36"/>
      <x:c r="K27" s="36"/>
      <x:c r="L27" s="36"/>
      <x:c r="M27" s="36"/>
      <x:c r="N27" s="45"/>
      <x:c r="O27" s="48" t="str">
        <x:f>IF(B27="","",AVERAGE(IFERROR(VLOOKUP(D27,'Справочники'!$A$5:$B$14,2,FALSE),0),IFERROR(VLOOKUP(E27,'Справочники'!$D$5:$E$12,2,FALSE),0),IFERROR(VLOOKUP(F27,'Справочники'!$G$5:$H$12,2,FALSE),0),IFERROR(VLOOKUP(G27,'Справочники'!$J$5:$K$12,2,FALSE),0)))</x:f>
      </x:c>
      <x:c r="P27" s="36"/>
    </x:row>
    <x:row r="28" ht="44" customHeight="1">
      <x:c r="A28" s="39"/>
      <x:c r="B28" s="36"/>
      <x:c r="C28" s="36"/>
      <x:c r="D28" s="42"/>
      <x:c r="E28" s="42"/>
      <x:c r="F28" s="42"/>
      <x:c r="G28" s="42"/>
      <x:c r="H28" s="42"/>
      <x:c r="I28" s="42"/>
      <x:c r="J28" s="36"/>
      <x:c r="K28" s="36"/>
      <x:c r="L28" s="36"/>
      <x:c r="M28" s="36"/>
      <x:c r="N28" s="45"/>
      <x:c r="O28" s="48" t="str">
        <x:f>IF(B28="","",AVERAGE(IFERROR(VLOOKUP(D28,'Справочники'!$A$5:$B$14,2,FALSE),0),IFERROR(VLOOKUP(E28,'Справочники'!$D$5:$E$12,2,FALSE),0),IFERROR(VLOOKUP(F28,'Справочники'!$G$5:$H$12,2,FALSE),0),IFERROR(VLOOKUP(G28,'Справочники'!$J$5:$K$12,2,FALSE),0)))</x:f>
      </x:c>
      <x:c r="P28" s="36"/>
    </x:row>
    <x:row r="29" ht="44" customHeight="1">
      <x:c r="A29" s="39"/>
      <x:c r="B29" s="36"/>
      <x:c r="C29" s="36"/>
      <x:c r="D29" s="42"/>
      <x:c r="E29" s="42"/>
      <x:c r="F29" s="42"/>
      <x:c r="G29" s="42"/>
      <x:c r="H29" s="42"/>
      <x:c r="I29" s="42"/>
      <x:c r="J29" s="36"/>
      <x:c r="K29" s="36"/>
      <x:c r="L29" s="36"/>
      <x:c r="M29" s="36"/>
      <x:c r="N29" s="45"/>
      <x:c r="O29" s="48" t="str">
        <x:f>IF(B29="","",AVERAGE(IFERROR(VLOOKUP(D29,'Справочники'!$A$5:$B$14,2,FALSE),0),IFERROR(VLOOKUP(E29,'Справочники'!$D$5:$E$12,2,FALSE),0),IFERROR(VLOOKUP(F29,'Справочники'!$G$5:$H$12,2,FALSE),0),IFERROR(VLOOKUP(G29,'Справочники'!$J$5:$K$12,2,FALSE),0)))</x:f>
      </x:c>
      <x:c r="P29" s="36"/>
    </x:row>
    <x:row r="30" ht="44" customHeight="1">
      <x:c r="A30" s="39"/>
      <x:c r="B30" s="36"/>
      <x:c r="C30" s="36"/>
      <x:c r="D30" s="42"/>
      <x:c r="E30" s="42"/>
      <x:c r="F30" s="42"/>
      <x:c r="G30" s="42"/>
      <x:c r="H30" s="42"/>
      <x:c r="I30" s="42"/>
      <x:c r="J30" s="36"/>
      <x:c r="K30" s="36"/>
      <x:c r="L30" s="36"/>
      <x:c r="M30" s="36"/>
      <x:c r="N30" s="45"/>
      <x:c r="O30" s="48" t="str">
        <x:f>IF(B30="","",AVERAGE(IFERROR(VLOOKUP(D30,'Справочники'!$A$5:$B$14,2,FALSE),0),IFERROR(VLOOKUP(E30,'Справочники'!$D$5:$E$12,2,FALSE),0),IFERROR(VLOOKUP(F30,'Справочники'!$G$5:$H$12,2,FALSE),0),IFERROR(VLOOKUP(G30,'Справочники'!$J$5:$K$12,2,FALSE),0)))</x:f>
      </x:c>
      <x:c r="P30" s="36"/>
    </x:row>
    <x:row r="31" ht="44" customHeight="1">
      <x:c r="A31" s="39"/>
      <x:c r="B31" s="36"/>
      <x:c r="C31" s="36"/>
      <x:c r="D31" s="42"/>
      <x:c r="E31" s="42"/>
      <x:c r="F31" s="42"/>
      <x:c r="G31" s="42"/>
      <x:c r="H31" s="42"/>
      <x:c r="I31" s="42"/>
      <x:c r="J31" s="36"/>
      <x:c r="K31" s="36"/>
      <x:c r="L31" s="36"/>
      <x:c r="M31" s="36"/>
      <x:c r="N31" s="45"/>
      <x:c r="O31" s="48" t="str">
        <x:f>IF(B31="","",AVERAGE(IFERROR(VLOOKUP(D31,'Справочники'!$A$5:$B$14,2,FALSE),0),IFERROR(VLOOKUP(E31,'Справочники'!$D$5:$E$12,2,FALSE),0),IFERROR(VLOOKUP(F31,'Справочники'!$G$5:$H$12,2,FALSE),0),IFERROR(VLOOKUP(G31,'Справочники'!$J$5:$K$12,2,FALSE),0)))</x:f>
      </x:c>
      <x:c r="P31" s="36"/>
    </x:row>
    <x:row r="32" ht="44" customHeight="1">
      <x:c r="A32" s="39"/>
      <x:c r="B32" s="36"/>
      <x:c r="C32" s="36"/>
      <x:c r="D32" s="42"/>
      <x:c r="E32" s="42"/>
      <x:c r="F32" s="42"/>
      <x:c r="G32" s="42"/>
      <x:c r="H32" s="42"/>
      <x:c r="I32" s="42"/>
      <x:c r="J32" s="36"/>
      <x:c r="K32" s="36"/>
      <x:c r="L32" s="36"/>
      <x:c r="M32" s="36"/>
      <x:c r="N32" s="45"/>
      <x:c r="O32" s="48" t="str">
        <x:f>IF(B32="","",AVERAGE(IFERROR(VLOOKUP(D32,'Справочники'!$A$5:$B$14,2,FALSE),0),IFERROR(VLOOKUP(E32,'Справочники'!$D$5:$E$12,2,FALSE),0),IFERROR(VLOOKUP(F32,'Справочники'!$G$5:$H$12,2,FALSE),0),IFERROR(VLOOKUP(G32,'Справочники'!$J$5:$K$12,2,FALSE),0)))</x:f>
      </x:c>
      <x:c r="P32" s="36"/>
    </x:row>
    <x:row r="33" ht="44" customHeight="1">
      <x:c r="A33" s="39"/>
      <x:c r="B33" s="36"/>
      <x:c r="C33" s="36"/>
      <x:c r="D33" s="42"/>
      <x:c r="E33" s="42"/>
      <x:c r="F33" s="42"/>
      <x:c r="G33" s="42"/>
      <x:c r="H33" s="42"/>
      <x:c r="I33" s="42"/>
      <x:c r="J33" s="36"/>
      <x:c r="K33" s="36"/>
      <x:c r="L33" s="36"/>
      <x:c r="M33" s="36"/>
      <x:c r="N33" s="45"/>
      <x:c r="O33" s="48" t="str">
        <x:f>IF(B33="","",AVERAGE(IFERROR(VLOOKUP(D33,'Справочники'!$A$5:$B$14,2,FALSE),0),IFERROR(VLOOKUP(E33,'Справочники'!$D$5:$E$12,2,FALSE),0),IFERROR(VLOOKUP(F33,'Справочники'!$G$5:$H$12,2,FALSE),0),IFERROR(VLOOKUP(G33,'Справочники'!$J$5:$K$12,2,FALSE),0)))</x:f>
      </x:c>
      <x:c r="P33" s="36"/>
    </x:row>
    <x:row r="34" ht="44" customHeight="1">
      <x:c r="A34" s="39"/>
      <x:c r="B34" s="36"/>
      <x:c r="C34" s="36"/>
      <x:c r="D34" s="42"/>
      <x:c r="E34" s="42"/>
      <x:c r="F34" s="42"/>
      <x:c r="G34" s="42"/>
      <x:c r="H34" s="42"/>
      <x:c r="I34" s="42"/>
      <x:c r="J34" s="36"/>
      <x:c r="K34" s="36"/>
      <x:c r="L34" s="36"/>
      <x:c r="M34" s="36"/>
      <x:c r="N34" s="45"/>
      <x:c r="O34" s="48" t="str">
        <x:f>IF(B34="","",AVERAGE(IFERROR(VLOOKUP(D34,'Справочники'!$A$5:$B$14,2,FALSE),0),IFERROR(VLOOKUP(E34,'Справочники'!$D$5:$E$12,2,FALSE),0),IFERROR(VLOOKUP(F34,'Справочники'!$G$5:$H$12,2,FALSE),0),IFERROR(VLOOKUP(G34,'Справочники'!$J$5:$K$12,2,FALSE),0)))</x:f>
      </x:c>
      <x:c r="P34" s="36"/>
    </x:row>
    <x:row r="35" ht="44" customHeight="1">
      <x:c r="A35" s="39"/>
      <x:c r="B35" s="36"/>
      <x:c r="C35" s="36"/>
      <x:c r="D35" s="42"/>
      <x:c r="E35" s="42"/>
      <x:c r="F35" s="42"/>
      <x:c r="G35" s="42"/>
      <x:c r="H35" s="42"/>
      <x:c r="I35" s="42"/>
      <x:c r="J35" s="36"/>
      <x:c r="K35" s="36"/>
      <x:c r="L35" s="36"/>
      <x:c r="M35" s="36"/>
      <x:c r="N35" s="45"/>
      <x:c r="O35" s="48" t="str">
        <x:f>IF(B35="","",AVERAGE(IFERROR(VLOOKUP(D35,'Справочники'!$A$5:$B$14,2,FALSE),0),IFERROR(VLOOKUP(E35,'Справочники'!$D$5:$E$12,2,FALSE),0),IFERROR(VLOOKUP(F35,'Справочники'!$G$5:$H$12,2,FALSE),0),IFERROR(VLOOKUP(G35,'Справочники'!$J$5:$K$12,2,FALSE),0)))</x:f>
      </x:c>
      <x:c r="P35" s="36"/>
    </x:row>
    <x:row r="36" ht="44" customHeight="1">
      <x:c r="A36" s="39"/>
      <x:c r="B36" s="36"/>
      <x:c r="C36" s="36"/>
      <x:c r="D36" s="42"/>
      <x:c r="E36" s="42"/>
      <x:c r="F36" s="42"/>
      <x:c r="G36" s="42"/>
      <x:c r="H36" s="42"/>
      <x:c r="I36" s="42"/>
      <x:c r="J36" s="36"/>
      <x:c r="K36" s="36"/>
      <x:c r="L36" s="36"/>
      <x:c r="M36" s="36"/>
      <x:c r="N36" s="45"/>
      <x:c r="O36" s="48" t="str">
        <x:f>IF(B36="","",AVERAGE(IFERROR(VLOOKUP(D36,'Справочники'!$A$5:$B$14,2,FALSE),0),IFERROR(VLOOKUP(E36,'Справочники'!$D$5:$E$12,2,FALSE),0),IFERROR(VLOOKUP(F36,'Справочники'!$G$5:$H$12,2,FALSE),0),IFERROR(VLOOKUP(G36,'Справочники'!$J$5:$K$12,2,FALSE),0)))</x:f>
      </x:c>
      <x:c r="P36" s="36"/>
    </x:row>
    <x:row r="37" ht="44" customHeight="1">
      <x:c r="A37" s="39"/>
      <x:c r="B37" s="36"/>
      <x:c r="C37" s="36"/>
      <x:c r="D37" s="42"/>
      <x:c r="E37" s="42"/>
      <x:c r="F37" s="42"/>
      <x:c r="G37" s="42"/>
      <x:c r="H37" s="42"/>
      <x:c r="I37" s="42"/>
      <x:c r="J37" s="36"/>
      <x:c r="K37" s="36"/>
      <x:c r="L37" s="36"/>
      <x:c r="M37" s="36"/>
      <x:c r="N37" s="45"/>
      <x:c r="O37" s="48" t="str">
        <x:f>IF(B37="","",AVERAGE(IFERROR(VLOOKUP(D37,'Справочники'!$A$5:$B$14,2,FALSE),0),IFERROR(VLOOKUP(E37,'Справочники'!$D$5:$E$12,2,FALSE),0),IFERROR(VLOOKUP(F37,'Справочники'!$G$5:$H$12,2,FALSE),0),IFERROR(VLOOKUP(G37,'Справочники'!$J$5:$K$12,2,FALSE),0)))</x:f>
      </x:c>
      <x:c r="P37" s="36"/>
    </x:row>
    <x:row r="38" ht="44" customHeight="1">
      <x:c r="A38" s="39"/>
      <x:c r="B38" s="36"/>
      <x:c r="C38" s="36"/>
      <x:c r="D38" s="42"/>
      <x:c r="E38" s="42"/>
      <x:c r="F38" s="42"/>
      <x:c r="G38" s="42"/>
      <x:c r="H38" s="42"/>
      <x:c r="I38" s="42"/>
      <x:c r="J38" s="36"/>
      <x:c r="K38" s="36"/>
      <x:c r="L38" s="36"/>
      <x:c r="M38" s="36"/>
      <x:c r="N38" s="45"/>
      <x:c r="O38" s="48" t="str">
        <x:f>IF(B38="","",AVERAGE(IFERROR(VLOOKUP(D38,'Справочники'!$A$5:$B$14,2,FALSE),0),IFERROR(VLOOKUP(E38,'Справочники'!$D$5:$E$12,2,FALSE),0),IFERROR(VLOOKUP(F38,'Справочники'!$G$5:$H$12,2,FALSE),0),IFERROR(VLOOKUP(G38,'Справочники'!$J$5:$K$12,2,FALSE),0)))</x:f>
      </x:c>
      <x:c r="P38" s="36"/>
    </x:row>
    <x:row r="39" ht="44" customHeight="1">
      <x:c r="A39" s="39"/>
      <x:c r="B39" s="36"/>
      <x:c r="C39" s="36"/>
      <x:c r="D39" s="42"/>
      <x:c r="E39" s="42"/>
      <x:c r="F39" s="42"/>
      <x:c r="G39" s="42"/>
      <x:c r="H39" s="42"/>
      <x:c r="I39" s="42"/>
      <x:c r="J39" s="36"/>
      <x:c r="K39" s="36"/>
      <x:c r="L39" s="36"/>
      <x:c r="M39" s="36"/>
      <x:c r="N39" s="45"/>
      <x:c r="O39" s="48" t="str">
        <x:f>IF(B39="","",AVERAGE(IFERROR(VLOOKUP(D39,'Справочники'!$A$5:$B$14,2,FALSE),0),IFERROR(VLOOKUP(E39,'Справочники'!$D$5:$E$12,2,FALSE),0),IFERROR(VLOOKUP(F39,'Справочники'!$G$5:$H$12,2,FALSE),0),IFERROR(VLOOKUP(G39,'Справочники'!$J$5:$K$12,2,FALSE),0)))</x:f>
      </x:c>
      <x:c r="P39" s="36"/>
    </x:row>
    <x:row r="40" ht="44" customHeight="1">
      <x:c r="A40" s="39"/>
      <x:c r="B40" s="36"/>
      <x:c r="C40" s="36"/>
      <x:c r="D40" s="42"/>
      <x:c r="E40" s="42"/>
      <x:c r="F40" s="42"/>
      <x:c r="G40" s="42"/>
      <x:c r="H40" s="42"/>
      <x:c r="I40" s="42"/>
      <x:c r="J40" s="36"/>
      <x:c r="K40" s="36"/>
      <x:c r="L40" s="36"/>
      <x:c r="M40" s="36"/>
      <x:c r="N40" s="45"/>
      <x:c r="O40" s="48" t="str">
        <x:f>IF(B40="","",AVERAGE(IFERROR(VLOOKUP(D40,'Справочники'!$A$5:$B$14,2,FALSE),0),IFERROR(VLOOKUP(E40,'Справочники'!$D$5:$E$12,2,FALSE),0),IFERROR(VLOOKUP(F40,'Справочники'!$G$5:$H$12,2,FALSE),0),IFERROR(VLOOKUP(G40,'Справочники'!$J$5:$K$12,2,FALSE),0)))</x:f>
      </x:c>
      <x:c r="P40" s="36"/>
    </x:row>
    <x:row r="41" ht="44" customHeight="1">
      <x:c r="A41" s="39"/>
      <x:c r="B41" s="36"/>
      <x:c r="C41" s="36"/>
      <x:c r="D41" s="42"/>
      <x:c r="E41" s="42"/>
      <x:c r="F41" s="42"/>
      <x:c r="G41" s="42"/>
      <x:c r="H41" s="42"/>
      <x:c r="I41" s="42"/>
      <x:c r="J41" s="36"/>
      <x:c r="K41" s="36"/>
      <x:c r="L41" s="36"/>
      <x:c r="M41" s="36"/>
      <x:c r="N41" s="45"/>
      <x:c r="O41" s="48" t="str">
        <x:f>IF(B41="","",AVERAGE(IFERROR(VLOOKUP(D41,'Справочники'!$A$5:$B$14,2,FALSE),0),IFERROR(VLOOKUP(E41,'Справочники'!$D$5:$E$12,2,FALSE),0),IFERROR(VLOOKUP(F41,'Справочники'!$G$5:$H$12,2,FALSE),0),IFERROR(VLOOKUP(G41,'Справочники'!$J$5:$K$12,2,FALSE),0)))</x:f>
      </x:c>
      <x:c r="P41" s="36"/>
    </x:row>
    <x:row r="42" ht="44" customHeight="1">
      <x:c r="A42" s="39"/>
      <x:c r="B42" s="36"/>
      <x:c r="C42" s="36"/>
      <x:c r="D42" s="42"/>
      <x:c r="E42" s="42"/>
      <x:c r="F42" s="42"/>
      <x:c r="G42" s="42"/>
      <x:c r="H42" s="42"/>
      <x:c r="I42" s="42"/>
      <x:c r="J42" s="36"/>
      <x:c r="K42" s="36"/>
      <x:c r="L42" s="36"/>
      <x:c r="M42" s="36"/>
      <x:c r="N42" s="45"/>
      <x:c r="O42" s="48" t="str">
        <x:f>IF(B42="","",AVERAGE(IFERROR(VLOOKUP(D42,'Справочники'!$A$5:$B$14,2,FALSE),0),IFERROR(VLOOKUP(E42,'Справочники'!$D$5:$E$12,2,FALSE),0),IFERROR(VLOOKUP(F42,'Справочники'!$G$5:$H$12,2,FALSE),0),IFERROR(VLOOKUP(G42,'Справочники'!$J$5:$K$12,2,FALSE),0)))</x:f>
      </x:c>
      <x:c r="P42" s="36"/>
    </x:row>
    <x:row r="43" ht="44" customHeight="1">
      <x:c r="A43" s="39"/>
      <x:c r="B43" s="36"/>
      <x:c r="C43" s="36"/>
      <x:c r="D43" s="42"/>
      <x:c r="E43" s="42"/>
      <x:c r="F43" s="42"/>
      <x:c r="G43" s="42"/>
      <x:c r="H43" s="42"/>
      <x:c r="I43" s="42"/>
      <x:c r="J43" s="36"/>
      <x:c r="K43" s="36"/>
      <x:c r="L43" s="36"/>
      <x:c r="M43" s="36"/>
      <x:c r="N43" s="45"/>
      <x:c r="O43" s="48" t="str">
        <x:f>IF(B43="","",AVERAGE(IFERROR(VLOOKUP(D43,'Справочники'!$A$5:$B$14,2,FALSE),0),IFERROR(VLOOKUP(E43,'Справочники'!$D$5:$E$12,2,FALSE),0),IFERROR(VLOOKUP(F43,'Справочники'!$G$5:$H$12,2,FALSE),0),IFERROR(VLOOKUP(G43,'Справочники'!$J$5:$K$12,2,FALSE),0)))</x:f>
      </x:c>
      <x:c r="P43" s="36"/>
    </x:row>
    <x:row r="44" ht="44" customHeight="1">
      <x:c r="A44" s="39"/>
      <x:c r="B44" s="36"/>
      <x:c r="C44" s="36"/>
      <x:c r="D44" s="42"/>
      <x:c r="E44" s="42"/>
      <x:c r="F44" s="42"/>
      <x:c r="G44" s="42"/>
      <x:c r="H44" s="42"/>
      <x:c r="I44" s="42"/>
      <x:c r="J44" s="36"/>
      <x:c r="K44" s="36"/>
      <x:c r="L44" s="36"/>
      <x:c r="M44" s="36"/>
      <x:c r="N44" s="45"/>
      <x:c r="O44" s="48" t="str">
        <x:f>IF(B44="","",AVERAGE(IFERROR(VLOOKUP(D44,'Справочники'!$A$5:$B$14,2,FALSE),0),IFERROR(VLOOKUP(E44,'Справочники'!$D$5:$E$12,2,FALSE),0),IFERROR(VLOOKUP(F44,'Справочники'!$G$5:$H$12,2,FALSE),0),IFERROR(VLOOKUP(G44,'Справочники'!$J$5:$K$12,2,FALSE),0)))</x:f>
      </x:c>
      <x:c r="P44" s="36"/>
    </x:row>
    <x:row r="45" ht="44" customHeight="1">
      <x:c r="A45" s="39"/>
      <x:c r="B45" s="36"/>
      <x:c r="C45" s="36"/>
      <x:c r="D45" s="42"/>
      <x:c r="E45" s="42"/>
      <x:c r="F45" s="42"/>
      <x:c r="G45" s="42"/>
      <x:c r="H45" s="42"/>
      <x:c r="I45" s="42"/>
      <x:c r="J45" s="36"/>
      <x:c r="K45" s="36"/>
      <x:c r="L45" s="36"/>
      <x:c r="M45" s="36"/>
      <x:c r="N45" s="45"/>
      <x:c r="O45" s="48" t="str">
        <x:f>IF(B45="","",AVERAGE(IFERROR(VLOOKUP(D45,'Справочники'!$A$5:$B$14,2,FALSE),0),IFERROR(VLOOKUP(E45,'Справочники'!$D$5:$E$12,2,FALSE),0),IFERROR(VLOOKUP(F45,'Справочники'!$G$5:$H$12,2,FALSE),0),IFERROR(VLOOKUP(G45,'Справочники'!$J$5:$K$12,2,FALSE),0)))</x:f>
      </x:c>
      <x:c r="P45" s="36"/>
    </x:row>
    <x:row r="46" ht="44" customHeight="1">
      <x:c r="A46" s="39"/>
      <x:c r="B46" s="36"/>
      <x:c r="C46" s="36"/>
      <x:c r="D46" s="42"/>
      <x:c r="E46" s="42"/>
      <x:c r="F46" s="42"/>
      <x:c r="G46" s="42"/>
      <x:c r="H46" s="42"/>
      <x:c r="I46" s="42"/>
      <x:c r="J46" s="36"/>
      <x:c r="K46" s="36"/>
      <x:c r="L46" s="36"/>
      <x:c r="M46" s="36"/>
      <x:c r="N46" s="45"/>
      <x:c r="O46" s="48" t="str">
        <x:f>IF(B46="","",AVERAGE(IFERROR(VLOOKUP(D46,'Справочники'!$A$5:$B$14,2,FALSE),0),IFERROR(VLOOKUP(E46,'Справочники'!$D$5:$E$12,2,FALSE),0),IFERROR(VLOOKUP(F46,'Справочники'!$G$5:$H$12,2,FALSE),0),IFERROR(VLOOKUP(G46,'Справочники'!$J$5:$K$12,2,FALSE),0)))</x:f>
      </x:c>
      <x:c r="P46" s="36"/>
    </x:row>
    <x:row r="47" ht="44" customHeight="1">
      <x:c r="A47" s="39"/>
      <x:c r="B47" s="36"/>
      <x:c r="C47" s="36"/>
      <x:c r="D47" s="42"/>
      <x:c r="E47" s="42"/>
      <x:c r="F47" s="42"/>
      <x:c r="G47" s="42"/>
      <x:c r="H47" s="42"/>
      <x:c r="I47" s="42"/>
      <x:c r="J47" s="36"/>
      <x:c r="K47" s="36"/>
      <x:c r="L47" s="36"/>
      <x:c r="M47" s="36"/>
      <x:c r="N47" s="45"/>
      <x:c r="O47" s="48" t="str">
        <x:f>IF(B47="","",AVERAGE(IFERROR(VLOOKUP(D47,'Справочники'!$A$5:$B$14,2,FALSE),0),IFERROR(VLOOKUP(E47,'Справочники'!$D$5:$E$12,2,FALSE),0),IFERROR(VLOOKUP(F47,'Справочники'!$G$5:$H$12,2,FALSE),0),IFERROR(VLOOKUP(G47,'Справочники'!$J$5:$K$12,2,FALSE),0)))</x:f>
      </x:c>
      <x:c r="P47" s="36"/>
    </x:row>
    <x:row r="48" ht="44" customHeight="1">
      <x:c r="A48" s="39"/>
      <x:c r="B48" s="36"/>
      <x:c r="C48" s="36"/>
      <x:c r="D48" s="42"/>
      <x:c r="E48" s="42"/>
      <x:c r="F48" s="42"/>
      <x:c r="G48" s="42"/>
      <x:c r="H48" s="42"/>
      <x:c r="I48" s="42"/>
      <x:c r="J48" s="36"/>
      <x:c r="K48" s="36"/>
      <x:c r="L48" s="36"/>
      <x:c r="M48" s="36"/>
      <x:c r="N48" s="45"/>
      <x:c r="O48" s="48" t="str">
        <x:f>IF(B48="","",AVERAGE(IFERROR(VLOOKUP(D48,'Справочники'!$A$5:$B$14,2,FALSE),0),IFERROR(VLOOKUP(E48,'Справочники'!$D$5:$E$12,2,FALSE),0),IFERROR(VLOOKUP(F48,'Справочники'!$G$5:$H$12,2,FALSE),0),IFERROR(VLOOKUP(G48,'Справочники'!$J$5:$K$12,2,FALSE),0)))</x:f>
      </x:c>
      <x:c r="P48" s="36"/>
    </x:row>
    <x:row r="49" ht="44" customHeight="1">
      <x:c r="A49" s="39"/>
      <x:c r="B49" s="36"/>
      <x:c r="C49" s="36"/>
      <x:c r="D49" s="42"/>
      <x:c r="E49" s="42"/>
      <x:c r="F49" s="42"/>
      <x:c r="G49" s="42"/>
      <x:c r="H49" s="42"/>
      <x:c r="I49" s="42"/>
      <x:c r="J49" s="36"/>
      <x:c r="K49" s="36"/>
      <x:c r="L49" s="36"/>
      <x:c r="M49" s="36"/>
      <x:c r="N49" s="45"/>
      <x:c r="O49" s="48" t="str">
        <x:f>IF(B49="","",AVERAGE(IFERROR(VLOOKUP(D49,'Справочники'!$A$5:$B$14,2,FALSE),0),IFERROR(VLOOKUP(E49,'Справочники'!$D$5:$E$12,2,FALSE),0),IFERROR(VLOOKUP(F49,'Справочники'!$G$5:$H$12,2,FALSE),0),IFERROR(VLOOKUP(G49,'Справочники'!$J$5:$K$12,2,FALSE),0)))</x:f>
      </x:c>
      <x:c r="P49" s="36"/>
    </x:row>
    <x:row r="50" ht="44" customHeight="1">
      <x:c r="A50" s="39"/>
      <x:c r="B50" s="36"/>
      <x:c r="C50" s="36"/>
      <x:c r="D50" s="42"/>
      <x:c r="E50" s="42"/>
      <x:c r="F50" s="42"/>
      <x:c r="G50" s="42"/>
      <x:c r="H50" s="42"/>
      <x:c r="I50" s="42"/>
      <x:c r="J50" s="36"/>
      <x:c r="K50" s="36"/>
      <x:c r="L50" s="36"/>
      <x:c r="M50" s="36"/>
      <x:c r="N50" s="45"/>
      <x:c r="O50" s="48" t="str">
        <x:f>IF(B50="","",AVERAGE(IFERROR(VLOOKUP(D50,'Справочники'!$A$5:$B$14,2,FALSE),0),IFERROR(VLOOKUP(E50,'Справочники'!$D$5:$E$12,2,FALSE),0),IFERROR(VLOOKUP(F50,'Справочники'!$G$5:$H$12,2,FALSE),0),IFERROR(VLOOKUP(G50,'Справочники'!$J$5:$K$12,2,FALSE),0)))</x:f>
      </x:c>
      <x:c r="P50" s="36"/>
    </x:row>
    <x:row r="51" ht="44" customHeight="1">
      <x:c r="A51" s="39"/>
      <x:c r="B51" s="36"/>
      <x:c r="C51" s="36"/>
      <x:c r="D51" s="42"/>
      <x:c r="E51" s="42"/>
      <x:c r="F51" s="42"/>
      <x:c r="G51" s="42"/>
      <x:c r="H51" s="42"/>
      <x:c r="I51" s="42"/>
      <x:c r="J51" s="36"/>
      <x:c r="K51" s="36"/>
      <x:c r="L51" s="36"/>
      <x:c r="M51" s="36"/>
      <x:c r="N51" s="45"/>
      <x:c r="O51" s="48" t="str">
        <x:f>IF(B51="","",AVERAGE(IFERROR(VLOOKUP(D51,'Справочники'!$A$5:$B$14,2,FALSE),0),IFERROR(VLOOKUP(E51,'Справочники'!$D$5:$E$12,2,FALSE),0),IFERROR(VLOOKUP(F51,'Справочники'!$G$5:$H$12,2,FALSE),0),IFERROR(VLOOKUP(G51,'Справочники'!$J$5:$K$12,2,FALSE),0)))</x:f>
      </x:c>
      <x:c r="P51" s="36"/>
    </x:row>
    <x:row r="52" ht="44" customHeight="1">
      <x:c r="A52" s="39"/>
      <x:c r="B52" s="36"/>
      <x:c r="C52" s="36"/>
      <x:c r="D52" s="42"/>
      <x:c r="E52" s="42"/>
      <x:c r="F52" s="42"/>
      <x:c r="G52" s="42"/>
      <x:c r="H52" s="42"/>
      <x:c r="I52" s="42"/>
      <x:c r="J52" s="36"/>
      <x:c r="K52" s="36"/>
      <x:c r="L52" s="36"/>
      <x:c r="M52" s="36"/>
      <x:c r="N52" s="45"/>
      <x:c r="O52" s="48" t="str">
        <x:f>IF(B52="","",AVERAGE(IFERROR(VLOOKUP(D52,'Справочники'!$A$5:$B$14,2,FALSE),0),IFERROR(VLOOKUP(E52,'Справочники'!$D$5:$E$12,2,FALSE),0),IFERROR(VLOOKUP(F52,'Справочники'!$G$5:$H$12,2,FALSE),0),IFERROR(VLOOKUP(G52,'Справочники'!$J$5:$K$12,2,FALSE),0)))</x:f>
      </x:c>
      <x:c r="P52" s="36"/>
    </x:row>
    <x:row r="53" ht="44" customHeight="1">
      <x:c r="A53" s="39"/>
      <x:c r="B53" s="36"/>
      <x:c r="C53" s="36"/>
      <x:c r="D53" s="42"/>
      <x:c r="E53" s="42"/>
      <x:c r="F53" s="42"/>
      <x:c r="G53" s="42"/>
      <x:c r="H53" s="42"/>
      <x:c r="I53" s="42"/>
      <x:c r="J53" s="36"/>
      <x:c r="K53" s="36"/>
      <x:c r="L53" s="36"/>
      <x:c r="M53" s="36"/>
      <x:c r="N53" s="45"/>
      <x:c r="O53" s="48" t="str">
        <x:f>IF(B53="","",AVERAGE(IFERROR(VLOOKUP(D53,'Справочники'!$A$5:$B$14,2,FALSE),0),IFERROR(VLOOKUP(E53,'Справочники'!$D$5:$E$12,2,FALSE),0),IFERROR(VLOOKUP(F53,'Справочники'!$G$5:$H$12,2,FALSE),0),IFERROR(VLOOKUP(G53,'Справочники'!$J$5:$K$12,2,FALSE),0)))</x:f>
      </x:c>
      <x:c r="P53" s="36"/>
    </x:row>
    <x:row r="54" ht="44" customHeight="1">
      <x:c r="A54" s="39"/>
      <x:c r="B54" s="36"/>
      <x:c r="C54" s="36"/>
      <x:c r="D54" s="42"/>
      <x:c r="E54" s="42"/>
      <x:c r="F54" s="42"/>
      <x:c r="G54" s="42"/>
      <x:c r="H54" s="42"/>
      <x:c r="I54" s="42"/>
      <x:c r="J54" s="36"/>
      <x:c r="K54" s="36"/>
      <x:c r="L54" s="36"/>
      <x:c r="M54" s="36"/>
      <x:c r="N54" s="45"/>
      <x:c r="O54" s="48" t="str">
        <x:f>IF(B54="","",AVERAGE(IFERROR(VLOOKUP(D54,'Справочники'!$A$5:$B$14,2,FALSE),0),IFERROR(VLOOKUP(E54,'Справочники'!$D$5:$E$12,2,FALSE),0),IFERROR(VLOOKUP(F54,'Справочники'!$G$5:$H$12,2,FALSE),0),IFERROR(VLOOKUP(G54,'Справочники'!$J$5:$K$12,2,FALSE),0)))</x:f>
      </x:c>
      <x:c r="P54" s="36"/>
    </x:row>
    <x:row r="55" ht="44" customHeight="1">
      <x:c r="A55" s="39"/>
      <x:c r="B55" s="36"/>
      <x:c r="C55" s="36"/>
      <x:c r="D55" s="42"/>
      <x:c r="E55" s="42"/>
      <x:c r="F55" s="42"/>
      <x:c r="G55" s="42"/>
      <x:c r="H55" s="42"/>
      <x:c r="I55" s="42"/>
      <x:c r="J55" s="36"/>
      <x:c r="K55" s="36"/>
      <x:c r="L55" s="36"/>
      <x:c r="M55" s="36"/>
      <x:c r="N55" s="45"/>
      <x:c r="O55" s="48" t="str">
        <x:f>IF(B55="","",AVERAGE(IFERROR(VLOOKUP(D55,'Справочники'!$A$5:$B$14,2,FALSE),0),IFERROR(VLOOKUP(E55,'Справочники'!$D$5:$E$12,2,FALSE),0),IFERROR(VLOOKUP(F55,'Справочники'!$G$5:$H$12,2,FALSE),0),IFERROR(VLOOKUP(G55,'Справочники'!$J$5:$K$12,2,FALSE),0)))</x:f>
      </x:c>
      <x:c r="P55" s="36"/>
    </x:row>
    <x:row r="56" ht="44" customHeight="1">
      <x:c r="A56" s="39"/>
      <x:c r="B56" s="36"/>
      <x:c r="C56" s="36"/>
      <x:c r="D56" s="42"/>
      <x:c r="E56" s="42"/>
      <x:c r="F56" s="42"/>
      <x:c r="G56" s="42"/>
      <x:c r="H56" s="42"/>
      <x:c r="I56" s="42"/>
      <x:c r="J56" s="36"/>
      <x:c r="K56" s="36"/>
      <x:c r="L56" s="36"/>
      <x:c r="M56" s="36"/>
      <x:c r="N56" s="45"/>
      <x:c r="O56" s="48" t="str">
        <x:f>IF(B56="","",AVERAGE(IFERROR(VLOOKUP(D56,'Справочники'!$A$5:$B$14,2,FALSE),0),IFERROR(VLOOKUP(E56,'Справочники'!$D$5:$E$12,2,FALSE),0),IFERROR(VLOOKUP(F56,'Справочники'!$G$5:$H$12,2,FALSE),0),IFERROR(VLOOKUP(G56,'Справочники'!$J$5:$K$12,2,FALSE),0)))</x:f>
      </x:c>
      <x:c r="P56" s="36"/>
    </x:row>
    <x:row r="57" ht="44" customHeight="1">
      <x:c r="A57" s="39"/>
      <x:c r="B57" s="36"/>
      <x:c r="C57" s="36"/>
      <x:c r="D57" s="42"/>
      <x:c r="E57" s="42"/>
      <x:c r="F57" s="42"/>
      <x:c r="G57" s="42"/>
      <x:c r="H57" s="42"/>
      <x:c r="I57" s="42"/>
      <x:c r="J57" s="36"/>
      <x:c r="K57" s="36"/>
      <x:c r="L57" s="36"/>
      <x:c r="M57" s="36"/>
      <x:c r="N57" s="45"/>
      <x:c r="O57" s="48" t="str">
        <x:f>IF(B57="","",AVERAGE(IFERROR(VLOOKUP(D57,'Справочники'!$A$5:$B$14,2,FALSE),0),IFERROR(VLOOKUP(E57,'Справочники'!$D$5:$E$12,2,FALSE),0),IFERROR(VLOOKUP(F57,'Справочники'!$G$5:$H$12,2,FALSE),0),IFERROR(VLOOKUP(G57,'Справочники'!$J$5:$K$12,2,FALSE),0)))</x:f>
      </x:c>
      <x:c r="P57" s="36"/>
    </x:row>
    <x:row r="58" ht="44" customHeight="1">
      <x:c r="A58" s="39"/>
      <x:c r="B58" s="36"/>
      <x:c r="C58" s="36"/>
      <x:c r="D58" s="42"/>
      <x:c r="E58" s="42"/>
      <x:c r="F58" s="42"/>
      <x:c r="G58" s="42"/>
      <x:c r="H58" s="42"/>
      <x:c r="I58" s="42"/>
      <x:c r="J58" s="36"/>
      <x:c r="K58" s="36"/>
      <x:c r="L58" s="36"/>
      <x:c r="M58" s="36"/>
      <x:c r="N58" s="45"/>
      <x:c r="O58" s="48" t="str">
        <x:f>IF(B58="","",AVERAGE(IFERROR(VLOOKUP(D58,'Справочники'!$A$5:$B$14,2,FALSE),0),IFERROR(VLOOKUP(E58,'Справочники'!$D$5:$E$12,2,FALSE),0),IFERROR(VLOOKUP(F58,'Справочники'!$G$5:$H$12,2,FALSE),0),IFERROR(VLOOKUP(G58,'Справочники'!$J$5:$K$12,2,FALSE),0)))</x:f>
      </x:c>
      <x:c r="P58" s="36"/>
    </x:row>
    <x:row r="59" ht="44" customHeight="1">
      <x:c r="A59" s="39"/>
      <x:c r="B59" s="36"/>
      <x:c r="C59" s="36"/>
      <x:c r="D59" s="42"/>
      <x:c r="E59" s="42"/>
      <x:c r="F59" s="42"/>
      <x:c r="G59" s="42"/>
      <x:c r="H59" s="42"/>
      <x:c r="I59" s="42"/>
      <x:c r="J59" s="36"/>
      <x:c r="K59" s="36"/>
      <x:c r="L59" s="36"/>
      <x:c r="M59" s="36"/>
      <x:c r="N59" s="45"/>
      <x:c r="O59" s="48" t="str">
        <x:f>IF(B59="","",AVERAGE(IFERROR(VLOOKUP(D59,'Справочники'!$A$5:$B$14,2,FALSE),0),IFERROR(VLOOKUP(E59,'Справочники'!$D$5:$E$12,2,FALSE),0),IFERROR(VLOOKUP(F59,'Справочники'!$G$5:$H$12,2,FALSE),0),IFERROR(VLOOKUP(G59,'Справочники'!$J$5:$K$12,2,FALSE),0)))</x:f>
      </x:c>
      <x:c r="P59" s="36"/>
    </x:row>
    <x:row r="60" ht="44" customHeight="1">
      <x:c r="A60" s="39"/>
      <x:c r="B60" s="36"/>
      <x:c r="C60" s="36"/>
      <x:c r="D60" s="42"/>
      <x:c r="E60" s="42"/>
      <x:c r="F60" s="42"/>
      <x:c r="G60" s="42"/>
      <x:c r="H60" s="42"/>
      <x:c r="I60" s="42"/>
      <x:c r="J60" s="36"/>
      <x:c r="K60" s="36"/>
      <x:c r="L60" s="36"/>
      <x:c r="M60" s="36"/>
      <x:c r="N60" s="45"/>
      <x:c r="O60" s="48" t="str">
        <x:f>IF(B60="","",AVERAGE(IFERROR(VLOOKUP(D60,'Справочники'!$A$5:$B$14,2,FALSE),0),IFERROR(VLOOKUP(E60,'Справочники'!$D$5:$E$12,2,FALSE),0),IFERROR(VLOOKUP(F60,'Справочники'!$G$5:$H$12,2,FALSE),0),IFERROR(VLOOKUP(G60,'Справочники'!$J$5:$K$12,2,FALSE),0)))</x:f>
      </x:c>
      <x:c r="P60" s="36"/>
    </x:row>
    <x:row r="61" ht="44" customHeight="1">
      <x:c r="A61" s="39"/>
      <x:c r="B61" s="36"/>
      <x:c r="C61" s="36"/>
      <x:c r="D61" s="42"/>
      <x:c r="E61" s="42"/>
      <x:c r="F61" s="42"/>
      <x:c r="G61" s="42"/>
      <x:c r="H61" s="42"/>
      <x:c r="I61" s="42"/>
      <x:c r="J61" s="36"/>
      <x:c r="K61" s="36"/>
      <x:c r="L61" s="36"/>
      <x:c r="M61" s="36"/>
      <x:c r="N61" s="45"/>
      <x:c r="O61" s="48" t="str">
        <x:f>IF(B61="","",AVERAGE(IFERROR(VLOOKUP(D61,'Справочники'!$A$5:$B$14,2,FALSE),0),IFERROR(VLOOKUP(E61,'Справочники'!$D$5:$E$12,2,FALSE),0),IFERROR(VLOOKUP(F61,'Справочники'!$G$5:$H$12,2,FALSE),0),IFERROR(VLOOKUP(G61,'Справочники'!$J$5:$K$12,2,FALSE),0)))</x:f>
      </x:c>
      <x:c r="P61" s="36"/>
    </x:row>
    <x:row r="62" ht="44" customHeight="1">
      <x:c r="A62" s="39"/>
      <x:c r="B62" s="36"/>
      <x:c r="C62" s="36"/>
      <x:c r="D62" s="42"/>
      <x:c r="E62" s="42"/>
      <x:c r="F62" s="42"/>
      <x:c r="G62" s="42"/>
      <x:c r="H62" s="42"/>
      <x:c r="I62" s="42"/>
      <x:c r="J62" s="36"/>
      <x:c r="K62" s="36"/>
      <x:c r="L62" s="36"/>
      <x:c r="M62" s="36"/>
      <x:c r="N62" s="45"/>
      <x:c r="O62" s="48" t="str">
        <x:f>IF(B62="","",AVERAGE(IFERROR(VLOOKUP(D62,'Справочники'!$A$5:$B$14,2,FALSE),0),IFERROR(VLOOKUP(E62,'Справочники'!$D$5:$E$12,2,FALSE),0),IFERROR(VLOOKUP(F62,'Справочники'!$G$5:$H$12,2,FALSE),0),IFERROR(VLOOKUP(G62,'Справочники'!$J$5:$K$12,2,FALSE),0)))</x:f>
      </x:c>
      <x:c r="P62" s="36"/>
    </x:row>
    <x:row r="63" ht="44" customHeight="1">
      <x:c r="A63" s="39"/>
      <x:c r="B63" s="36"/>
      <x:c r="C63" s="36"/>
      <x:c r="D63" s="42"/>
      <x:c r="E63" s="42"/>
      <x:c r="F63" s="42"/>
      <x:c r="G63" s="42"/>
      <x:c r="H63" s="42"/>
      <x:c r="I63" s="42"/>
      <x:c r="J63" s="36"/>
      <x:c r="K63" s="36"/>
      <x:c r="L63" s="36"/>
      <x:c r="M63" s="36"/>
      <x:c r="N63" s="45"/>
      <x:c r="O63" s="48" t="str">
        <x:f>IF(B63="","",AVERAGE(IFERROR(VLOOKUP(D63,'Справочники'!$A$5:$B$14,2,FALSE),0),IFERROR(VLOOKUP(E63,'Справочники'!$D$5:$E$12,2,FALSE),0),IFERROR(VLOOKUP(F63,'Справочники'!$G$5:$H$12,2,FALSE),0),IFERROR(VLOOKUP(G63,'Справочники'!$J$5:$K$12,2,FALSE),0)))</x:f>
      </x:c>
      <x:c r="P63" s="36"/>
    </x:row>
    <x:row r="64" ht="44" customHeight="1">
      <x:c r="A64" s="39"/>
      <x:c r="B64" s="36"/>
      <x:c r="C64" s="36"/>
      <x:c r="D64" s="42"/>
      <x:c r="E64" s="42"/>
      <x:c r="F64" s="42"/>
      <x:c r="G64" s="42"/>
      <x:c r="H64" s="42"/>
      <x:c r="I64" s="42"/>
      <x:c r="J64" s="36"/>
      <x:c r="K64" s="36"/>
      <x:c r="L64" s="36"/>
      <x:c r="M64" s="36"/>
      <x:c r="N64" s="45"/>
      <x:c r="O64" s="48" t="str">
        <x:f>IF(B64="","",AVERAGE(IFERROR(VLOOKUP(D64,'Справочники'!$A$5:$B$14,2,FALSE),0),IFERROR(VLOOKUP(E64,'Справочники'!$D$5:$E$12,2,FALSE),0),IFERROR(VLOOKUP(F64,'Справочники'!$G$5:$H$12,2,FALSE),0),IFERROR(VLOOKUP(G64,'Справочники'!$J$5:$K$12,2,FALSE),0)))</x:f>
      </x:c>
      <x:c r="P64" s="36"/>
    </x:row>
    <x:row r="65" ht="44" customHeight="1">
      <x:c r="A65" s="39"/>
      <x:c r="B65" s="36"/>
      <x:c r="C65" s="36"/>
      <x:c r="D65" s="42"/>
      <x:c r="E65" s="42"/>
      <x:c r="F65" s="42"/>
      <x:c r="G65" s="42"/>
      <x:c r="H65" s="42"/>
      <x:c r="I65" s="42"/>
      <x:c r="J65" s="36"/>
      <x:c r="K65" s="36"/>
      <x:c r="L65" s="36"/>
      <x:c r="M65" s="36"/>
      <x:c r="N65" s="45"/>
      <x:c r="O65" s="48" t="str">
        <x:f>IF(B65="","",AVERAGE(IFERROR(VLOOKUP(D65,'Справочники'!$A$5:$B$14,2,FALSE),0),IFERROR(VLOOKUP(E65,'Справочники'!$D$5:$E$12,2,FALSE),0),IFERROR(VLOOKUP(F65,'Справочники'!$G$5:$H$12,2,FALSE),0),IFERROR(VLOOKUP(G65,'Справочники'!$J$5:$K$12,2,FALSE),0)))</x:f>
      </x:c>
      <x:c r="P65" s="36"/>
    </x:row>
    <x:row r="66" ht="44" customHeight="1">
      <x:c r="A66" s="39"/>
      <x:c r="B66" s="36"/>
      <x:c r="C66" s="36"/>
      <x:c r="D66" s="42"/>
      <x:c r="E66" s="42"/>
      <x:c r="F66" s="42"/>
      <x:c r="G66" s="42"/>
      <x:c r="H66" s="42"/>
      <x:c r="I66" s="42"/>
      <x:c r="J66" s="36"/>
      <x:c r="K66" s="36"/>
      <x:c r="L66" s="36"/>
      <x:c r="M66" s="36"/>
      <x:c r="N66" s="45"/>
      <x:c r="O66" s="48" t="str">
        <x:f>IF(B66="","",AVERAGE(IFERROR(VLOOKUP(D66,'Справочники'!$A$5:$B$14,2,FALSE),0),IFERROR(VLOOKUP(E66,'Справочники'!$D$5:$E$12,2,FALSE),0),IFERROR(VLOOKUP(F66,'Справочники'!$G$5:$H$12,2,FALSE),0),IFERROR(VLOOKUP(G66,'Справочники'!$J$5:$K$12,2,FALSE),0)))</x:f>
      </x:c>
      <x:c r="P66" s="36"/>
    </x:row>
    <x:row r="67" ht="44" customHeight="1">
      <x:c r="A67" s="39"/>
      <x:c r="B67" s="36"/>
      <x:c r="C67" s="36"/>
      <x:c r="D67" s="42"/>
      <x:c r="E67" s="42"/>
      <x:c r="F67" s="42"/>
      <x:c r="G67" s="42"/>
      <x:c r="H67" s="42"/>
      <x:c r="I67" s="42"/>
      <x:c r="J67" s="36"/>
      <x:c r="K67" s="36"/>
      <x:c r="L67" s="36"/>
      <x:c r="M67" s="36"/>
      <x:c r="N67" s="45"/>
      <x:c r="O67" s="48" t="str">
        <x:f>IF(B67="","",AVERAGE(IFERROR(VLOOKUP(D67,'Справочники'!$A$5:$B$14,2,FALSE),0),IFERROR(VLOOKUP(E67,'Справочники'!$D$5:$E$12,2,FALSE),0),IFERROR(VLOOKUP(F67,'Справочники'!$G$5:$H$12,2,FALSE),0),IFERROR(VLOOKUP(G67,'Справочники'!$J$5:$K$12,2,FALSE),0)))</x:f>
      </x:c>
      <x:c r="P67" s="36"/>
    </x:row>
    <x:row r="68" ht="44" customHeight="1">
      <x:c r="A68" s="39"/>
      <x:c r="B68" s="36"/>
      <x:c r="C68" s="36"/>
      <x:c r="D68" s="42"/>
      <x:c r="E68" s="42"/>
      <x:c r="F68" s="42"/>
      <x:c r="G68" s="42"/>
      <x:c r="H68" s="42"/>
      <x:c r="I68" s="42"/>
      <x:c r="J68" s="36"/>
      <x:c r="K68" s="36"/>
      <x:c r="L68" s="36"/>
      <x:c r="M68" s="36"/>
      <x:c r="N68" s="45"/>
      <x:c r="O68" s="48" t="str">
        <x:f>IF(B68="","",AVERAGE(IFERROR(VLOOKUP(D68,'Справочники'!$A$5:$B$14,2,FALSE),0),IFERROR(VLOOKUP(E68,'Справочники'!$D$5:$E$12,2,FALSE),0),IFERROR(VLOOKUP(F68,'Справочники'!$G$5:$H$12,2,FALSE),0),IFERROR(VLOOKUP(G68,'Справочники'!$J$5:$K$12,2,FALSE),0)))</x:f>
      </x:c>
      <x:c r="P68" s="36"/>
    </x:row>
    <x:row r="69" ht="44" customHeight="1">
      <x:c r="A69" s="39"/>
      <x:c r="B69" s="36"/>
      <x:c r="C69" s="36"/>
      <x:c r="D69" s="42"/>
      <x:c r="E69" s="42"/>
      <x:c r="F69" s="42"/>
      <x:c r="G69" s="42"/>
      <x:c r="H69" s="42"/>
      <x:c r="I69" s="42"/>
      <x:c r="J69" s="36"/>
      <x:c r="K69" s="36"/>
      <x:c r="L69" s="36"/>
      <x:c r="M69" s="36"/>
      <x:c r="N69" s="45"/>
      <x:c r="O69" s="48" t="str">
        <x:f>IF(B69="","",AVERAGE(IFERROR(VLOOKUP(D69,'Справочники'!$A$5:$B$14,2,FALSE),0),IFERROR(VLOOKUP(E69,'Справочники'!$D$5:$E$12,2,FALSE),0),IFERROR(VLOOKUP(F69,'Справочники'!$G$5:$H$12,2,FALSE),0),IFERROR(VLOOKUP(G69,'Справочники'!$J$5:$K$12,2,FALSE),0)))</x:f>
      </x:c>
      <x:c r="P69" s="36"/>
    </x:row>
    <x:row r="70" ht="44" customHeight="1">
      <x:c r="A70" s="39"/>
      <x:c r="B70" s="36"/>
      <x:c r="C70" s="36"/>
      <x:c r="D70" s="42"/>
      <x:c r="E70" s="42"/>
      <x:c r="F70" s="42"/>
      <x:c r="G70" s="42"/>
      <x:c r="H70" s="42"/>
      <x:c r="I70" s="42"/>
      <x:c r="J70" s="36"/>
      <x:c r="K70" s="36"/>
      <x:c r="L70" s="36"/>
      <x:c r="M70" s="36"/>
      <x:c r="N70" s="45"/>
      <x:c r="O70" s="48" t="str">
        <x:f>IF(B70="","",AVERAGE(IFERROR(VLOOKUP(D70,'Справочники'!$A$5:$B$14,2,FALSE),0),IFERROR(VLOOKUP(E70,'Справочники'!$D$5:$E$12,2,FALSE),0),IFERROR(VLOOKUP(F70,'Справочники'!$G$5:$H$12,2,FALSE),0),IFERROR(VLOOKUP(G70,'Справочники'!$J$5:$K$12,2,FALSE),0)))</x:f>
      </x:c>
      <x:c r="P70" s="36"/>
    </x:row>
    <x:row r="71" ht="44" customHeight="1">
      <x:c r="A71" s="39"/>
      <x:c r="B71" s="36"/>
      <x:c r="C71" s="36"/>
      <x:c r="D71" s="42"/>
      <x:c r="E71" s="42"/>
      <x:c r="F71" s="42"/>
      <x:c r="G71" s="42"/>
      <x:c r="H71" s="42"/>
      <x:c r="I71" s="42"/>
      <x:c r="J71" s="36"/>
      <x:c r="K71" s="36"/>
      <x:c r="L71" s="36"/>
      <x:c r="M71" s="36"/>
      <x:c r="N71" s="45"/>
      <x:c r="O71" s="48" t="str">
        <x:f>IF(B71="","",AVERAGE(IFERROR(VLOOKUP(D71,'Справочники'!$A$5:$B$14,2,FALSE),0),IFERROR(VLOOKUP(E71,'Справочники'!$D$5:$E$12,2,FALSE),0),IFERROR(VLOOKUP(F71,'Справочники'!$G$5:$H$12,2,FALSE),0),IFERROR(VLOOKUP(G71,'Справочники'!$J$5:$K$12,2,FALSE),0)))</x:f>
      </x:c>
      <x:c r="P71" s="36"/>
    </x:row>
    <x:row r="72" ht="44" customHeight="1">
      <x:c r="A72" s="39"/>
      <x:c r="B72" s="36"/>
      <x:c r="C72" s="36"/>
      <x:c r="D72" s="42"/>
      <x:c r="E72" s="42"/>
      <x:c r="F72" s="42"/>
      <x:c r="G72" s="42"/>
      <x:c r="H72" s="42"/>
      <x:c r="I72" s="42"/>
      <x:c r="J72" s="36"/>
      <x:c r="K72" s="36"/>
      <x:c r="L72" s="36"/>
      <x:c r="M72" s="36"/>
      <x:c r="N72" s="45"/>
      <x:c r="O72" s="48" t="str">
        <x:f>IF(B72="","",AVERAGE(IFERROR(VLOOKUP(D72,'Справочники'!$A$5:$B$14,2,FALSE),0),IFERROR(VLOOKUP(E72,'Справочники'!$D$5:$E$12,2,FALSE),0),IFERROR(VLOOKUP(F72,'Справочники'!$G$5:$H$12,2,FALSE),0),IFERROR(VLOOKUP(G72,'Справочники'!$J$5:$K$12,2,FALSE),0)))</x:f>
      </x:c>
      <x:c r="P72" s="36"/>
    </x:row>
    <x:row r="73" ht="44" customHeight="1">
      <x:c r="A73" s="39"/>
      <x:c r="B73" s="36"/>
      <x:c r="C73" s="36"/>
      <x:c r="D73" s="42"/>
      <x:c r="E73" s="42"/>
      <x:c r="F73" s="42"/>
      <x:c r="G73" s="42"/>
      <x:c r="H73" s="42"/>
      <x:c r="I73" s="42"/>
      <x:c r="J73" s="36"/>
      <x:c r="K73" s="36"/>
      <x:c r="L73" s="36"/>
      <x:c r="M73" s="36"/>
      <x:c r="N73" s="45"/>
      <x:c r="O73" s="48" t="str">
        <x:f>IF(B73="","",AVERAGE(IFERROR(VLOOKUP(D73,'Справочники'!$A$5:$B$14,2,FALSE),0),IFERROR(VLOOKUP(E73,'Справочники'!$D$5:$E$12,2,FALSE),0),IFERROR(VLOOKUP(F73,'Справочники'!$G$5:$H$12,2,FALSE),0),IFERROR(VLOOKUP(G73,'Справочники'!$J$5:$K$12,2,FALSE),0)))</x:f>
      </x:c>
      <x:c r="P73" s="36"/>
    </x:row>
    <x:row r="74" ht="44" customHeight="1">
      <x:c r="A74" s="39"/>
      <x:c r="B74" s="36"/>
      <x:c r="C74" s="36"/>
      <x:c r="D74" s="42"/>
      <x:c r="E74" s="42"/>
      <x:c r="F74" s="42"/>
      <x:c r="G74" s="42"/>
      <x:c r="H74" s="42"/>
      <x:c r="I74" s="42"/>
      <x:c r="J74" s="36"/>
      <x:c r="K74" s="36"/>
      <x:c r="L74" s="36"/>
      <x:c r="M74" s="36"/>
      <x:c r="N74" s="45"/>
      <x:c r="O74" s="48" t="str">
        <x:f>IF(B74="","",AVERAGE(IFERROR(VLOOKUP(D74,'Справочники'!$A$5:$B$14,2,FALSE),0),IFERROR(VLOOKUP(E74,'Справочники'!$D$5:$E$12,2,FALSE),0),IFERROR(VLOOKUP(F74,'Справочники'!$G$5:$H$12,2,FALSE),0),IFERROR(VLOOKUP(G74,'Справочники'!$J$5:$K$12,2,FALSE),0)))</x:f>
      </x:c>
      <x:c r="P74" s="36"/>
    </x:row>
    <x:row r="75" ht="44" customHeight="1">
      <x:c r="A75" s="40"/>
      <x:c r="B75" s="37"/>
      <x:c r="C75" s="37"/>
      <x:c r="D75" s="43"/>
      <x:c r="E75" s="43"/>
      <x:c r="F75" s="43"/>
      <x:c r="G75" s="43"/>
      <x:c r="H75" s="43"/>
      <x:c r="I75" s="43"/>
      <x:c r="J75" s="37"/>
      <x:c r="K75" s="37"/>
      <x:c r="L75" s="37"/>
      <x:c r="M75" s="37"/>
      <x:c r="N75" s="46"/>
      <x:c r="O75" s="49" t="str">
        <x:f>IF(B75="","",AVERAGE(IFERROR(VLOOKUP(D75,'Справочники'!$A$5:$B$14,2,FALSE),0),IFERROR(VLOOKUP(E75,'Справочники'!$D$5:$E$12,2,FALSE),0),IFERROR(VLOOKUP(F75,'Справочники'!$G$5:$H$12,2,FALSE),0),IFERROR(VLOOKUP(G75,'Справочники'!$J$5:$K$12,2,FALSE),0)))</x:f>
      </x:c>
      <x:c r="P75" s="37"/>
    </x:row>
  </x:sheetData>
  <x:mergeCells>
    <x:mergeCell ref="A1:P1"/>
    <x:mergeCell ref="A2:P2"/>
    <x:mergeCell ref="A3:B3"/>
    <x:mergeCell ref="C3:D3"/>
    <x:mergeCell ref="E3:F3"/>
    <x:mergeCell ref="G3:H3"/>
    <x:mergeCell ref="I3:J3"/>
    <x:mergeCell ref="K3:L3"/>
    <x:mergeCell ref="M3:N3"/>
    <x:mergeCell ref="O3:P3"/>
  </x:mergeCells>
  <x:conditionalFormatting sqref="D6:D75">
    <x:cfRule type="containsText" dxfId="192" priority="1" operator="containsText" text="Готово local/mock"/>
    <x:cfRule type="expression" dxfId="193" priority="2">
      <x:formula>$D6="Готово"</x:formula>
    </x:cfRule>
    <x:cfRule type="containsText" dxfId="194" priority="3" operator="containsText" text="Review"/>
    <x:cfRule type="containsText" dxfId="195" priority="4" operator="containsText" text="Draft"/>
    <x:cfRule type="containsText" dxfId="196" priority="5" operator="containsText" text="Отсутствует"/>
    <x:cfRule type="containsText" dxfId="197" priority="6" operator="containsText" text="В работе"/>
  </x:conditionalFormatting>
  <x:conditionalFormatting sqref="E6:E75">
    <x:cfRule type="containsText" dxfId="198" priority="7" operator="containsText" text="Accepted"/>
    <x:cfRule type="containsText" dxfId="199" priority="8" operator="containsText" text="Canonical"/>
    <x:cfRule type="containsText" dxfId="200" priority="9" operator="containsText" text="Approved"/>
    <x:cfRule type="containsText" dxfId="201" priority="10" operator="containsText" text="Review"/>
    <x:cfRule type="containsText" dxfId="202" priority="11" operator="containsText" text="Draft"/>
    <x:cfRule type="containsText" dxfId="203" priority="12" operator="containsText" text="Отсутствует"/>
  </x:conditionalFormatting>
  <x:conditionalFormatting sqref="F6:F75">
    <x:cfRule type="expression" dxfId="204" priority="13">
      <x:formula>$F6="Production"</x:formula>
    </x:cfRule>
    <x:cfRule type="expression" dxfId="205" priority="14">
      <x:formula>$F6="Local/mock"</x:formula>
    </x:cfRule>
    <x:cfRule type="expression" dxfId="206" priority="15">
      <x:formula>$F6="Pure domain"</x:formula>
    </x:cfRule>
    <x:cfRule type="expression" dxfId="207" priority="16">
      <x:formula>$F6="Отсутствует"</x:formula>
    </x:cfRule>
    <x:cfRule type="expression" dxfId="208" priority="17">
      <x:formula>$F6="Gated"</x:formula>
    </x:cfRule>
  </x:conditionalFormatting>
  <x:conditionalFormatting sqref="G6:G75">
    <x:cfRule type="containsText" dxfId="209" priority="18" operator="containsText" text="Текущие зелёные"/>
    <x:cfRule type="containsText" dxfId="210" priority="19" operator="containsText" text="Исторические зелёные"/>
    <x:cfRule type="containsText" dxfId="211" priority="20" operator="containsText" text="Device pending"/>
    <x:cfRule type="containsText" dxfId="212" priority="21" operator="containsText" text="Не запускались"/>
  </x:conditionalFormatting>
  <x:conditionalFormatting sqref="I6:I75">
    <x:cfRule type="containsText" dxfId="213" priority="22" operator="containsText" text="P0"/>
    <x:cfRule type="containsText" dxfId="214" priority="23" operator="containsText" text="P1"/>
    <x:cfRule type="containsText" dxfId="215" priority="24" operator="containsText" text="P2"/>
  </x:conditionalFormatting>
  <x:conditionalFormatting sqref="O6:O75">
    <x:cfRule type="dataBar" priority="25">
      <x:dataBar>
        <x:cfvo type="min"/>
        <x:cfvo type="max"/>
        <x:color rgb="FF2F6B5C"/>
      </x:dataBar>
      <x:extLst>
        <x:ext xmlns:x14="http://schemas.microsoft.com/office/spreadsheetml/2009/9/main" uri="{B025F937-C7B1-47D3-B67F-A62EFF666E3E}">
          <x14:id>{2BAE908F-832B-7F7D-3099-8556D79BEDBA}</x14:id>
        </x:ext>
      </x:extLst>
    </x:cfRule>
  </x:conditionalFormatting>
  <x:dataValidations count="5">
    <x:dataValidation type="list" sqref="D6:D75">
      <x:formula1>'Справочники'!$A$5:$A$14</x:formula1>
    </x:dataValidation>
    <x:dataValidation type="list" sqref="E6:E75">
      <x:formula1>'Справочники'!$D$5:$D$12</x:formula1>
    </x:dataValidation>
    <x:dataValidation type="list" sqref="F6:F75">
      <x:formula1>'Справочники'!$G$5:$G$12</x:formula1>
    </x:dataValidation>
    <x:dataValidation type="list" sqref="G6:G75">
      <x:formula1>'Справочники'!$J$5:$J$12</x:formula1>
    </x:dataValidation>
    <x:dataValidation type="list" sqref="I6:I75">
      <x:formula1>'Справочники'!$M$5:$M$9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fb667b8886042d4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5" id="{2BAE908F-832B-7F7D-3099-8556D79BEDBA}">
            <x14:dataBar gradient="1">
              <x14:cfvo type="min"/>
              <x14:cfvo type="max"/>
              <x14:fillColor rgb="FF2F6B5C"/>
            </x14:dataBar>
          </x14:cfRule>
          <xm:sqref>O6:O75</xm:sqref>
        </x14:conditionalFormatting>
      </x14:conditionalFormattings>
    </x:ext>
  </x:extLst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1" hidden="0" customWidth="1"/>
    <x:col min="3" max="3" width="20" hidden="0" customWidth="1"/>
    <x:col min="4" max="4" width="18" hidden="0" customWidth="1"/>
    <x:col min="5" max="5" width="20" hidden="0" customWidth="1"/>
    <x:col min="6" max="6" width="16" hidden="0" customWidth="1"/>
    <x:col min="7" max="7" width="20" hidden="0" customWidth="1"/>
    <x:col min="8" max="8" width="25" hidden="0" customWidth="1"/>
    <x:col min="9" max="9" width="11" hidden="0" customWidth="1"/>
    <x:col min="10" max="10" width="40" hidden="0" customWidth="1"/>
    <x:col min="11" max="11" width="28" hidden="0" customWidth="1"/>
    <x:col min="12" max="12" width="20" hidden="0" customWidth="1"/>
    <x:col min="13" max="13" width="48" hidden="0" customWidth="1"/>
    <x:col min="14" max="14" width="14" hidden="0" customWidth="1"/>
    <x:col min="15" max="15" width="13" hidden="0" customWidth="1"/>
    <x:col min="16" max="16" width="34" hidden="0" customWidth="1"/>
  </x:cols>
  <x:sheetData>
    <x:row r="1" ht="38" customHeight="1">
      <x:c r="A1" s="3" t="str">
        <x:v>SECURITY &amp; PRIVACY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2" customHeight="1">
      <x:c r="A2" s="7" t="str">
        <x:v>Governance layer · AuthN/Z, App Check, Rules/IAM, data classes, retention and trust safety.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3">
      <x:c r="A3" s="12" t="e">
        <x:f>HYPERLINK("#'Паук'!A1","← Вернуться к пауку")</x:f>
        <x:v>HYPERLINK is not implemented. linkLocation=#'Паук'!A1, friendlyName=← Вернуться к пауку</x:v>
      </x:c>
      <x:c r="B3" s="12"/>
      <x:c r="C3" t="str">
        <x:v>Прогресс</x:v>
      </x:c>
      <x:c r="E3" s="15" t="n">
        <x:f>IFERROR(SUM(O6:O75)/COUNTA(B6:B75),0)</x:f>
        <x:v>0.26842105263157895</x:v>
      </x:c>
      <x:c r="F3" s="15"/>
      <x:c r="G3" t="str">
        <x:v>Открытые P0/P1</x:v>
      </x:c>
      <x:c r="I3" s="18" t="n">
        <x:f>COUNTIFS(I6:I75,"P0",O6:O75,"&lt;1")+COUNTIFS(I6:I75,"P1",O6:O75,"&lt;1")</x:f>
        <x:v>19</x:v>
      </x:c>
      <x:c r="J3" s="18"/>
      <x:c r="K3" t="str">
        <x:v>Runtime отсутствует</x:v>
      </x:c>
      <x:c r="M3" s="21" t="n">
        <x:f>COUNTIF(F6:F75,"Отсутствует")</x:f>
        <x:v>12</x:v>
      </x:c>
      <x:c r="N3" s="21"/>
      <x:c r="O3" s="24" t="e">
        <x:f>HYPERLINK("#'Реестр файлов'!A1","Реестр файлов →")</x:f>
        <x:v>HYPERLINK is not implemented. linkLocation=#'Реестр файлов'!A1, friendlyName=Реестр файлов →</x:v>
      </x:c>
      <x:c r="P3" s="24"/>
    </x:row>
    <x:row r="5">
      <x:c r="A5" s="27" t="str">
        <x:v>ID</x:v>
      </x:c>
      <x:c r="B5" s="27" t="str">
        <x:v>Подсистема / deliverable</x:v>
      </x:c>
      <x:c r="C5" s="27" t="str">
        <x:v>Тип</x:v>
      </x:c>
      <x:c r="D5" s="27" t="str">
        <x:v>Артефакт</x:v>
      </x:c>
      <x:c r="E5" s="27" t="str">
        <x:v>Документация</x:v>
      </x:c>
      <x:c r="F5" s="27" t="str">
        <x:v>Runtime</x:v>
      </x:c>
      <x:c r="G5" s="27" t="str">
        <x:v>Проверки</x:v>
      </x:c>
      <x:c r="H5" s="27" t="str">
        <x:v>Gate / authority</x:v>
      </x:c>
      <x:c r="I5" s="27" t="str">
        <x:v>Приоритет</x:v>
      </x:c>
      <x:c r="J5" s="27" t="str">
        <x:v>Следующее действие</x:v>
      </x:c>
      <x:c r="K5" s="27" t="str">
        <x:v>Блокер</x:v>
      </x:c>
      <x:c r="L5" s="27" t="str">
        <x:v>Owner</x:v>
      </x:c>
      <x:c r="M5" s="27" t="str">
        <x:v>Источник / путь</x:v>
      </x:c>
      <x:c r="N5" s="27" t="str">
        <x:v>Обновлено</x:v>
      </x:c>
      <x:c r="O5" s="27" t="str">
        <x:v>Готовность</x:v>
      </x:c>
      <x:c r="P5" s="27" t="str">
        <x:v>Комментарий</x:v>
      </x:c>
    </x:row>
    <x:row r="6" ht="44" customHeight="1">
      <x:c r="A6" s="38" t="str">
        <x:v>SEC-01</x:v>
      </x:c>
      <x:c r="B6" s="35" t="str">
        <x:v>BCK-04 Security &amp; Privacy</x:v>
      </x:c>
      <x:c r="C6" s="35" t="str">
        <x:v>Backend spec</x:v>
      </x:c>
      <x:c r="D6" s="41" t="str">
        <x:v>Draft</x:v>
      </x:c>
      <x:c r="E6" s="41" t="str">
        <x:v>Draft</x:v>
      </x:c>
      <x:c r="F6" s="41" t="str">
        <x:v>Отсутствует</x:v>
      </x:c>
      <x:c r="G6" s="41" t="str">
        <x:v>Не запускались</x:v>
      </x:c>
      <x:c r="H6" s="41" t="str">
        <x:v>Architecture review</x:v>
      </x:c>
      <x:c r="I6" s="41" t="str">
        <x:v>P0</x:v>
      </x:c>
      <x:c r="J6" s="35" t="str">
        <x:v>Закрыть 10 review corrections и registry drift</x:v>
      </x:c>
      <x:c r="K6" s="35" t="str">
        <x:v>OD-07/OD-11</x:v>
      </x:c>
      <x:c r="L6" s="35" t="str">
        <x:v>Security/Privacy</x:v>
      </x:c>
      <x:c r="M6" s="35" t="str">
        <x:v>docs/product/BACKEND_SECURITY_PRIVACY_SPEC.md</x:v>
      </x:c>
      <x:c r="N6" s="44" t="n">
        <x:v>46250</x:v>
      </x:c>
      <x:c r="O6" s="47" t="n">
        <x:f>IF(B6="","",AVERAGE(IFERROR(VLOOKUP(D6,'Справочники'!$A$5:$B$14,2,FALSE),0),IFERROR(VLOOKUP(E6,'Справочники'!$D$5:$E$12,2,FALSE),0),IFERROR(VLOOKUP(F6,'Справочники'!$G$5:$H$12,2,FALSE),0),IFERROR(VLOOKUP(G6,'Справочники'!$J$5:$K$12,2,FALSE),0)))</x:f>
        <x:v>0.1375</x:v>
      </x:c>
      <x:c r="P6" s="35" t="str"/>
    </x:row>
    <x:row r="7" ht="44" customHeight="1">
      <x:c r="A7" s="39" t="str">
        <x:v>SEC-02</x:v>
      </x:c>
      <x:c r="B7" s="36" t="str">
        <x:v>Coverage matrix</x:v>
      </x:c>
      <x:c r="C7" s="36" t="str">
        <x:v>Preparatory artifact</x:v>
      </x:c>
      <x:c r="D7" s="42" t="str">
        <x:v>Draft</x:v>
      </x:c>
      <x:c r="E7" s="42" t="str">
        <x:v>Draft</x:v>
      </x:c>
      <x:c r="F7" s="42" t="str">
        <x:v>Не требуется</x:v>
      </x:c>
      <x:c r="G7" s="42" t="str">
        <x:v>Частично</x:v>
      </x:c>
      <x:c r="H7" s="42" t="str">
        <x:v>Not approval</x:v>
      </x:c>
      <x:c r="I7" s="42" t="str">
        <x:v>P1</x:v>
      </x:c>
      <x:c r="J7" s="36" t="str">
        <x:v>Reconcile matrix with existing BCK-04 v0.2</x:v>
      </x:c>
      <x:c r="K7" s="36" t="str">
        <x:v>Stale historical target wording</x:v>
      </x:c>
      <x:c r="L7" s="36" t="str">
        <x:v>Security/Privacy</x:v>
      </x:c>
      <x:c r="M7" s="36" t="str">
        <x:v>docs/product/BACKEND_SECURITY_PRIVACY_COVERAGE_MATRIX.md</x:v>
      </x:c>
      <x:c r="N7" s="45" t="n">
        <x:v>46250.5</x:v>
      </x:c>
      <x:c r="O7" s="48" t="n">
        <x:f>IF(B7="","",AVERAGE(IFERROR(VLOOKUP(D7,'Справочники'!$A$5:$B$14,2,FALSE),0),IFERROR(VLOOKUP(E7,'Справочники'!$D$5:$E$12,2,FALSE),0),IFERROR(VLOOKUP(F7,'Справочники'!$G$5:$H$12,2,FALSE),0),IFERROR(VLOOKUP(G7,'Справочники'!$J$5:$K$12,2,FALSE),0)))</x:f>
        <x:v>0.48750000000000004</x:v>
      </x:c>
      <x:c r="P7" s="36" t="str">
        <x:v>Preparatory matrix still says BCK-04 v0.1 is not created in target-document text</x:v>
      </x:c>
    </x:row>
    <x:row r="8" ht="44" customHeight="1">
      <x:c r="A8" s="39" t="str">
        <x:v>SEC-03</x:v>
      </x:c>
      <x:c r="B8" s="36" t="str">
        <x:v>AuthN / AuthZ authority</x:v>
      </x:c>
      <x:c r="C8" s="36" t="str">
        <x:v>Security control</x:v>
      </x:c>
      <x:c r="D8" s="42" t="str">
        <x:v>Частично</x:v>
      </x:c>
      <x:c r="E8" s="42" t="str">
        <x:v>Approved</x:v>
      </x:c>
      <x:c r="F8" s="42" t="str">
        <x:v>Local/mock</x:v>
      </x:c>
      <x:c r="G8" s="42" t="str">
        <x:v>Частично</x:v>
      </x:c>
      <x:c r="H8" s="42" t="str">
        <x:v>R2/G2</x:v>
      </x:c>
      <x:c r="I8" s="42" t="str">
        <x:v>P0</x:v>
      </x:c>
      <x:c r="J8" s="36" t="str">
        <x:v>Server-resolved actor/capabilities</x:v>
      </x:c>
      <x:c r="K8" s="36" t="str">
        <x:v>Production Auth absent</x:v>
      </x:c>
      <x:c r="L8" s="36" t="str">
        <x:v>Identity/Security</x:v>
      </x:c>
      <x:c r="M8" s="36" t="str">
        <x:v>docs/adr/0015-authenticated-viewer-verified-creator-professional-page.md</x:v>
      </x:c>
      <x:c r="N8" s="45"/>
      <x:c r="O8" s="48" t="n">
        <x:f>IF(B8="","",AVERAGE(IFERROR(VLOOKUP(D8,'Справочники'!$A$5:$B$14,2,FALSE),0),IFERROR(VLOOKUP(E8,'Справочники'!$D$5:$E$12,2,FALSE),0),IFERROR(VLOOKUP(F8,'Справочники'!$G$5:$H$12,2,FALSE),0),IFERROR(VLOOKUP(G8,'Справочники'!$J$5:$K$12,2,FALSE),0)))</x:f>
        <x:v>0.5875</x:v>
      </x:c>
      <x:c r="P8" s="36" t="str"/>
    </x:row>
    <x:row r="9" ht="44" customHeight="1">
      <x:c r="A9" s="39" t="str">
        <x:v>SEC-04</x:v>
      </x:c>
      <x:c r="B9" s="36" t="str">
        <x:v>Firebase App Check</x:v>
      </x:c>
      <x:c r="C9" s="36" t="str">
        <x:v>Security control</x:v>
      </x:c>
      <x:c r="D9" s="42" t="str">
        <x:v>Отсутствует</x:v>
      </x:c>
      <x:c r="E9" s="42" t="str">
        <x:v>Draft</x:v>
      </x:c>
      <x:c r="F9" s="42" t="str">
        <x:v>Отсутствует</x:v>
      </x:c>
      <x:c r="G9" s="42" t="str">
        <x:v>Не запускались</x:v>
      </x:c>
      <x:c r="H9" s="42" t="str">
        <x:v>G1/G4</x:v>
      </x:c>
      <x:c r="I9" s="42" t="str">
        <x:v>P1</x:v>
      </x:c>
      <x:c r="J9" s="36" t="str">
        <x:v>Добавить enforcement и negative tests</x:v>
      </x:c>
      <x:c r="K9" s="36" t="str">
        <x:v>Firebase absent</x:v>
      </x:c>
      <x:c r="L9" s="36" t="str">
        <x:v>Security</x:v>
      </x:c>
      <x:c r="M9" s="36" t="str">
        <x:v>docs/product/BACKEND_SECURITY_PRIVACY_SPEC.md</x:v>
      </x:c>
      <x:c r="N9" s="45"/>
      <x:c r="O9" s="48" t="n">
        <x:f>IF(B9="","",AVERAGE(IFERROR(VLOOKUP(D9,'Справочники'!$A$5:$B$14,2,FALSE),0),IFERROR(VLOOKUP(E9,'Справочники'!$D$5:$E$12,2,FALSE),0),IFERROR(VLOOKUP(F9,'Справочники'!$G$5:$H$12,2,FALSE),0),IFERROR(VLOOKUP(G9,'Справочники'!$J$5:$K$12,2,FALSE),0)))</x:f>
        <x:v>0.0625</x:v>
      </x:c>
      <x:c r="P9" s="36" t="str"/>
    </x:row>
    <x:row r="10" ht="44" customHeight="1">
      <x:c r="A10" s="39" t="str">
        <x:v>SEC-05</x:v>
      </x:c>
      <x:c r="B10" s="36" t="str">
        <x:v>Firestore Rules + IAM</x:v>
      </x:c>
      <x:c r="C10" s="36" t="str">
        <x:v>Security control</x:v>
      </x:c>
      <x:c r="D10" s="42" t="str">
        <x:v>Отсутствует</x:v>
      </x:c>
      <x:c r="E10" s="42" t="str">
        <x:v>Draft</x:v>
      </x:c>
      <x:c r="F10" s="42" t="str">
        <x:v>Отсутствует</x:v>
      </x:c>
      <x:c r="G10" s="42" t="str">
        <x:v>Не запускались</x:v>
      </x:c>
      <x:c r="H10" s="42" t="str">
        <x:v>G1–G4</x:v>
      </x:c>
      <x:c r="I10" s="42" t="str">
        <x:v>P0</x:v>
      </x:c>
      <x:c r="J10" s="36" t="str">
        <x:v>Deny client operational writes; test Admin SDK boundary</x:v>
      </x:c>
      <x:c r="K10" s="36" t="str">
        <x:v>Backend absent</x:v>
      </x:c>
      <x:c r="L10" s="36" t="str">
        <x:v>Security</x:v>
      </x:c>
      <x:c r="M10" s="36" t="str">
        <x:v>docs/product/EVENT_CLASSIFICATION_ECL_03C_TRANSACTION_CORE_SLICE_SPEC.md</x:v>
      </x:c>
      <x:c r="N10" s="45"/>
      <x:c r="O10" s="48" t="n">
        <x:f>IF(B10="","",AVERAGE(IFERROR(VLOOKUP(D10,'Справочники'!$A$5:$B$14,2,FALSE),0),IFERROR(VLOOKUP(E10,'Справочники'!$D$5:$E$12,2,FALSE),0),IFERROR(VLOOKUP(F10,'Справочники'!$G$5:$H$12,2,FALSE),0),IFERROR(VLOOKUP(G10,'Справочники'!$J$5:$K$12,2,FALSE),0)))</x:f>
        <x:v>0.0625</x:v>
      </x:c>
      <x:c r="P10" s="36" t="str"/>
    </x:row>
    <x:row r="11" ht="44" customHeight="1">
      <x:c r="A11" s="39" t="str">
        <x:v>SEC-06</x:v>
      </x:c>
      <x:c r="B11" s="36" t="str">
        <x:v>Data classification</x:v>
      </x:c>
      <x:c r="C11" s="36" t="str">
        <x:v>Privacy control</x:v>
      </x:c>
      <x:c r="D11" s="42" t="str">
        <x:v>Draft</x:v>
      </x:c>
      <x:c r="E11" s="42" t="str">
        <x:v>Draft</x:v>
      </x:c>
      <x:c r="F11" s="42" t="str">
        <x:v>Отсутствует</x:v>
      </x:c>
      <x:c r="G11" s="42" t="str">
        <x:v>Не запускались</x:v>
      </x:c>
      <x:c r="H11" s="42" t="str">
        <x:v>BCK-04</x:v>
      </x:c>
      <x:c r="I11" s="42" t="str">
        <x:v>P0</x:v>
      </x:c>
      <x:c r="J11" s="36" t="str">
        <x:v>Approve classes/allowlists/access</x:v>
      </x:c>
      <x:c r="K11" s="36" t="str">
        <x:v>Privacy review</x:v>
      </x:c>
      <x:c r="L11" s="36" t="str">
        <x:v>Security/Privacy</x:v>
      </x:c>
      <x:c r="M11" s="36" t="str">
        <x:v>docs/product/BACKEND_SECURITY_PRIVACY_SPEC.md</x:v>
      </x:c>
      <x:c r="N11" s="45"/>
      <x:c r="O11" s="48" t="n">
        <x:f>IF(B11="","",AVERAGE(IFERROR(VLOOKUP(D11,'Справочники'!$A$5:$B$14,2,FALSE),0),IFERROR(VLOOKUP(E11,'Справочники'!$D$5:$E$12,2,FALSE),0),IFERROR(VLOOKUP(F11,'Справочники'!$G$5:$H$12,2,FALSE),0),IFERROR(VLOOKUP(G11,'Справочники'!$J$5:$K$12,2,FALSE),0)))</x:f>
        <x:v>0.1375</x:v>
      </x:c>
      <x:c r="P11" s="36" t="str"/>
    </x:row>
    <x:row r="12" ht="44" customHeight="1">
      <x:c r="A12" s="39" t="str">
        <x:v>SEC-07</x:v>
      </x:c>
      <x:c r="B12" s="36" t="str">
        <x:v>Retention / deletion / DSR</x:v>
      </x:c>
      <x:c r="C12" s="36" t="str">
        <x:v>Privacy control</x:v>
      </x:c>
      <x:c r="D12" s="42" t="str">
        <x:v>Draft</x:v>
      </x:c>
      <x:c r="E12" s="42" t="str">
        <x:v>Draft</x:v>
      </x:c>
      <x:c r="F12" s="42" t="str">
        <x:v>Отсутствует</x:v>
      </x:c>
      <x:c r="G12" s="42" t="str">
        <x:v>Не запускались</x:v>
      </x:c>
      <x:c r="H12" s="42" t="str">
        <x:v>Legal/Privacy</x:v>
      </x:c>
      <x:c r="I12" s="42" t="str">
        <x:v>P0</x:v>
      </x:c>
      <x:c r="J12" s="36" t="str">
        <x:v>Per-aggregate retention and deletion projections</x:v>
      </x:c>
      <x:c r="K12" s="36" t="str">
        <x:v>Owner/legal decisions</x:v>
      </x:c>
      <x:c r="L12" s="36" t="str">
        <x:v>Security/Privacy</x:v>
      </x:c>
      <x:c r="M12" s="36" t="str">
        <x:v>docs/product/BACKEND_SECURITY_PRIVACY_SPEC.md</x:v>
      </x:c>
      <x:c r="N12" s="45"/>
      <x:c r="O12" s="48" t="n">
        <x:f>IF(B12="","",AVERAGE(IFERROR(VLOOKUP(D12,'Справочники'!$A$5:$B$14,2,FALSE),0),IFERROR(VLOOKUP(E12,'Справочники'!$D$5:$E$12,2,FALSE),0),IFERROR(VLOOKUP(F12,'Справочники'!$G$5:$H$12,2,FALSE),0),IFERROR(VLOOKUP(G12,'Справочники'!$J$5:$K$12,2,FALSE),0)))</x:f>
        <x:v>0.1375</x:v>
      </x:c>
      <x:c r="P12" s="36" t="str"/>
    </x:row>
    <x:row r="13" ht="44" customHeight="1">
      <x:c r="A13" s="39" t="str">
        <x:v>SEC-08</x:v>
      </x:c>
      <x:c r="B13" s="36" t="str">
        <x:v>Minors / age eligibility</x:v>
      </x:c>
      <x:c r="C13" s="36" t="str">
        <x:v>Policy</x:v>
      </x:c>
      <x:c r="D13" s="42" t="str">
        <x:v>План</x:v>
      </x:c>
      <x:c r="E13" s="42" t="str">
        <x:v>Draft</x:v>
      </x:c>
      <x:c r="F13" s="42" t="str">
        <x:v>Отсутствует</x:v>
      </x:c>
      <x:c r="G13" s="42" t="str">
        <x:v>Не запускались</x:v>
      </x:c>
      <x:c r="H13" s="42" t="str">
        <x:v>OD-11 open</x:v>
      </x:c>
      <x:c r="I13" s="42" t="str">
        <x:v>P0</x:v>
      </x:c>
      <x:c r="J13" s="36" t="str">
        <x:v>Принять region-versioned policy</x:v>
      </x:c>
      <x:c r="K13" s="36" t="str">
        <x:v>Legal/Privacy</x:v>
      </x:c>
      <x:c r="L13" s="36" t="str">
        <x:v>Security/Privacy</x:v>
      </x:c>
      <x:c r="M13" s="36" t="str">
        <x:v>docs/product/RECHARGE_BACKEND_DELIVERY_MAP.md</x:v>
      </x:c>
      <x:c r="N13" s="45"/>
      <x:c r="O13" s="48" t="n">
        <x:f>IF(B13="","",AVERAGE(IFERROR(VLOOKUP(D13,'Справочники'!$A$5:$B$14,2,FALSE),0),IFERROR(VLOOKUP(E13,'Справочники'!$D$5:$E$12,2,FALSE),0),IFERROR(VLOOKUP(F13,'Справочники'!$G$5:$H$12,2,FALSE),0),IFERROR(VLOOKUP(G13,'Справочники'!$J$5:$K$12,2,FALSE),0)))</x:f>
        <x:v>0.0875</x:v>
      </x:c>
      <x:c r="P13" s="36" t="str"/>
    </x:row>
    <x:row r="14" ht="44" customHeight="1">
      <x:c r="A14" s="39" t="str">
        <x:v>SEC-09</x:v>
      </x:c>
      <x:c r="B14" s="36" t="str">
        <x:v>Logs / analytics redaction</x:v>
      </x:c>
      <x:c r="C14" s="36" t="str">
        <x:v>Privacy control</x:v>
      </x:c>
      <x:c r="D14" s="42" t="str">
        <x:v>Частично</x:v>
      </x:c>
      <x:c r="E14" s="42" t="str">
        <x:v>Approved</x:v>
      </x:c>
      <x:c r="F14" s="42" t="str">
        <x:v>Local/mock</x:v>
      </x:c>
      <x:c r="G14" s="42" t="str">
        <x:v>Исторические зелёные</x:v>
      </x:c>
      <x:c r="H14" s="42" t="str">
        <x:v>G5/G6</x:v>
      </x:c>
      <x:c r="I14" s="42" t="str">
        <x:v>P1</x:v>
      </x:c>
      <x:c r="J14" s="36" t="str">
        <x:v>Backend allowlist schemas и retention</x:v>
      </x:c>
      <x:c r="K14" s="36" t="str">
        <x:v>BCK-21</x:v>
      </x:c>
      <x:c r="L14" s="36" t="str">
        <x:v>Security/Data</x:v>
      </x:c>
      <x:c r="M14" s="36" t="str">
        <x:v>docs/analytics/ANALYTICS_TAXONOMY.md</x:v>
      </x:c>
      <x:c r="N14" s="45" t="n">
        <x:v>46250</x:v>
      </x:c>
      <x:c r="O14" s="48" t="n">
        <x:f>IF(B14="","",AVERAGE(IFERROR(VLOOKUP(D14,'Справочники'!$A$5:$B$14,2,FALSE),0),IFERROR(VLOOKUP(E14,'Справочники'!$D$5:$E$12,2,FALSE),0),IFERROR(VLOOKUP(F14,'Справочники'!$G$5:$H$12,2,FALSE),0),IFERROR(VLOOKUP(G14,'Справочники'!$J$5:$K$12,2,FALSE),0)))</x:f>
        <x:v>0.6625</x:v>
      </x:c>
      <x:c r="P14" s="36" t="str"/>
    </x:row>
    <x:row r="15" ht="44" customHeight="1">
      <x:c r="A15" s="39" t="str">
        <x:v>SEC-10</x:v>
      </x:c>
      <x:c r="B15" s="36" t="str">
        <x:v>Trust &amp; Safety / moderation</x:v>
      </x:c>
      <x:c r="C15" s="36" t="str">
        <x:v>Safety authority</x:v>
      </x:c>
      <x:c r="D15" s="42" t="str">
        <x:v>План</x:v>
      </x:c>
      <x:c r="E15" s="42" t="str">
        <x:v>Отсутствует</x:v>
      </x:c>
      <x:c r="F15" s="42" t="str">
        <x:v>Отсутствует</x:v>
      </x:c>
      <x:c r="G15" s="42" t="str">
        <x:v>Не запускались</x:v>
      </x:c>
      <x:c r="H15" s="42" t="str">
        <x:v>BCK-22 / OD-06</x:v>
      </x:c>
      <x:c r="I15" s="42" t="str">
        <x:v>P0</x:v>
      </x:c>
      <x:c r="J15" s="36" t="str">
        <x:v>Report/block/sanctions/appeals spec</x:v>
      </x:c>
      <x:c r="K15" s="36" t="str">
        <x:v>OD-06/11</x:v>
      </x:c>
      <x:c r="L15" s="36" t="str">
        <x:v>Trust &amp; Safety</x:v>
      </x:c>
      <x:c r="M15" s="36" t="str">
        <x:v>docs/product/RECHARGE_BACKEND_DELIVERY_MAP.md</x:v>
      </x:c>
      <x:c r="N15" s="45"/>
      <x:c r="O15" s="48" t="n">
        <x:f>IF(B15="","",AVERAGE(IFERROR(VLOOKUP(D15,'Справочники'!$A$5:$B$14,2,FALSE),0),IFERROR(VLOOKUP(E15,'Справочники'!$D$5:$E$12,2,FALSE),0),IFERROR(VLOOKUP(F15,'Справочники'!$G$5:$H$12,2,FALSE),0),IFERROR(VLOOKUP(G15,'Справочники'!$J$5:$K$12,2,FALSE),0)))</x:f>
        <x:v>0.025</x:v>
      </x:c>
      <x:c r="P15" s="36" t="str"/>
    </x:row>
    <x:row r="16" ht="44" customHeight="1">
      <x:c r="A16" s="39" t="str">
        <x:v>SEC-11</x:v>
      </x:c>
      <x:c r="B16" s="36" t="str">
        <x:v>Admin privileged repair</x:v>
      </x:c>
      <x:c r="C16" s="36" t="str">
        <x:v>Operations security</x:v>
      </x:c>
      <x:c r="D16" s="42" t="str">
        <x:v>План</x:v>
      </x:c>
      <x:c r="E16" s="42" t="str">
        <x:v>Отсутствует</x:v>
      </x:c>
      <x:c r="F16" s="42" t="str">
        <x:v>Отсутствует</x:v>
      </x:c>
      <x:c r="G16" s="42" t="str">
        <x:v>Не запускались</x:v>
      </x:c>
      <x:c r="H16" s="42" t="str">
        <x:v>BCK-19</x:v>
      </x:c>
      <x:c r="I16" s="42" t="str">
        <x:v>P1</x:v>
      </x:c>
      <x:c r="J16" s="36" t="str">
        <x:v>Least privilege + two-person approval</x:v>
      </x:c>
      <x:c r="K16" s="36" t="str">
        <x:v>BCK-19 missing</x:v>
      </x:c>
      <x:c r="L16" s="36" t="str">
        <x:v>Admin Operations</x:v>
      </x:c>
      <x:c r="M16" s="36" t="str">
        <x:v>docs/product/RECHARGE_BACKEND_DELIVERY_MAP.md</x:v>
      </x:c>
      <x:c r="N16" s="45"/>
      <x:c r="O16" s="48" t="n">
        <x:f>IF(B16="","",AVERAGE(IFERROR(VLOOKUP(D16,'Справочники'!$A$5:$B$14,2,FALSE),0),IFERROR(VLOOKUP(E16,'Справочники'!$D$5:$E$12,2,FALSE),0),IFERROR(VLOOKUP(F16,'Справочники'!$G$5:$H$12,2,FALSE),0),IFERROR(VLOOKUP(G16,'Справочники'!$J$5:$K$12,2,FALSE),0)))</x:f>
        <x:v>0.025</x:v>
      </x:c>
      <x:c r="P16" s="36" t="str"/>
    </x:row>
    <x:row r="17" ht="44" customHeight="1">
      <x:c r="A17" s="39" t="str">
        <x:v>SEC-12</x:v>
      </x:c>
      <x:c r="B17" s="36" t="str">
        <x:v>Media access / deletion</x:v>
      </x:c>
      <x:c r="C17" s="36" t="str">
        <x:v>Storage security</x:v>
      </x:c>
      <x:c r="D17" s="42" t="str">
        <x:v>План</x:v>
      </x:c>
      <x:c r="E17" s="42" t="str">
        <x:v>Отсутствует</x:v>
      </x:c>
      <x:c r="F17" s="42" t="str">
        <x:v>Отсутствует</x:v>
      </x:c>
      <x:c r="G17" s="42" t="str">
        <x:v>Не запускались</x:v>
      </x:c>
      <x:c r="H17" s="42" t="str">
        <x:v>BCK-14</x:v>
      </x:c>
      <x:c r="I17" s="42" t="str">
        <x:v>P1</x:v>
      </x:c>
      <x:c r="J17" s="36" t="str">
        <x:v>Protected access и orphan cleanup</x:v>
      </x:c>
      <x:c r="K17" s="36" t="str">
        <x:v>BCK-14 missing</x:v>
      </x:c>
      <x:c r="L17" s="36" t="str">
        <x:v>Media Platform</x:v>
      </x:c>
      <x:c r="M17" s="36" t="str">
        <x:v>docs/product/RECHARGE_BACKEND_DELIVERY_MAP.md</x:v>
      </x:c>
      <x:c r="N17" s="45"/>
      <x:c r="O17" s="48" t="n">
        <x:f>IF(B17="","",AVERAGE(IFERROR(VLOOKUP(D17,'Справочники'!$A$5:$B$14,2,FALSE),0),IFERROR(VLOOKUP(E17,'Справочники'!$D$5:$E$12,2,FALSE),0),IFERROR(VLOOKUP(F17,'Справочники'!$G$5:$H$12,2,FALSE),0),IFERROR(VLOOKUP(G17,'Справочники'!$J$5:$K$12,2,FALSE),0)))</x:f>
        <x:v>0.025</x:v>
      </x:c>
      <x:c r="P17" s="36" t="str"/>
    </x:row>
    <x:row r="18" ht="44" customHeight="1">
      <x:c r="A18" s="39" t="str">
        <x:v>SEC-13</x:v>
      </x:c>
      <x:c r="B18" s="36" t="str">
        <x:v>Route GPS journal encryption</x:v>
      </x:c>
      <x:c r="C18" s="36" t="str">
        <x:v>Mobile privacy</x:v>
      </x:c>
      <x:c r="D18" s="42" t="str">
        <x:v>Review</x:v>
      </x:c>
      <x:c r="E18" s="42" t="str">
        <x:v>Approved</x:v>
      </x:c>
      <x:c r="F18" s="42" t="str">
        <x:v>Local/mock</x:v>
      </x:c>
      <x:c r="G18" s="42" t="str">
        <x:v>Device pending</x:v>
      </x:c>
      <x:c r="H18" s="42" t="str">
        <x:v>RTE-11</x:v>
      </x:c>
      <x:c r="I18" s="42" t="str">
        <x:v>P1</x:v>
      </x:c>
      <x:c r="J18" s="36" t="str">
        <x:v>Device secure-recovery/revoke tests</x:v>
      </x:c>
      <x:c r="K18" s="36" t="str">
        <x:v>Real devices</x:v>
      </x:c>
      <x:c r="L18" s="36" t="str">
        <x:v>Route/Mobile</x:v>
      </x:c>
      <x:c r="M18" s="36" t="str">
        <x:v>docs/product/ROUTE_IMPLEMENTATION_ROADMAP.md</x:v>
      </x:c>
      <x:c r="N18" s="45" t="n">
        <x:v>46250</x:v>
      </x:c>
      <x:c r="O18" s="48" t="n">
        <x:f>IF(B18="","",AVERAGE(IFERROR(VLOOKUP(D18,'Справочники'!$A$5:$B$14,2,FALSE),0),IFERROR(VLOOKUP(E18,'Справочники'!$D$5:$E$12,2,FALSE),0),IFERROR(VLOOKUP(F18,'Справочники'!$G$5:$H$12,2,FALSE),0),IFERROR(VLOOKUP(G18,'Справочники'!$J$5:$K$12,2,FALSE),0)))</x:f>
        <x:v>0.6250000000000001</x:v>
      </x:c>
      <x:c r="P18" s="36" t="str"/>
    </x:row>
    <x:row r="19" ht="44" customHeight="1">
      <x:c r="A19" s="39" t="str">
        <x:v>SEC-14</x:v>
      </x:c>
      <x:c r="B19" s="36" t="str">
        <x:v>Secrets / rotation / leak response</x:v>
      </x:c>
      <x:c r="C19" s="36" t="str">
        <x:v>Runbooks</x:v>
      </x:c>
      <x:c r="D19" s="42" t="str">
        <x:v>Готово</x:v>
      </x:c>
      <x:c r="E19" s="42" t="str">
        <x:v>Approved</x:v>
      </x:c>
      <x:c r="F19" s="42" t="str">
        <x:v>Не требуется</x:v>
      </x:c>
      <x:c r="G19" s="42" t="str">
        <x:v>Исторические зелёные</x:v>
      </x:c>
      <x:c r="H19" s="42" t="str">
        <x:v>Release</x:v>
      </x:c>
      <x:c r="I19" s="42" t="str">
        <x:v>P1</x:v>
      </x:c>
      <x:c r="J19" s="36" t="str">
        <x:v>Exercise before production</x:v>
      </x:c>
      <x:c r="K19" s="36" t="str">
        <x:v>Production env absent</x:v>
      </x:c>
      <x:c r="L19" s="36" t="str">
        <x:v>Platform Operations</x:v>
      </x:c>
      <x:c r="M19" s="36" t="str">
        <x:v>docs/runbooks</x:v>
      </x:c>
      <x:c r="N19" s="45" t="n">
        <x:v>46250</x:v>
      </x:c>
      <x:c r="O19" s="48" t="n">
        <x:f>IF(B19="","",AVERAGE(IFERROR(VLOOKUP(D19,'Справочники'!$A$5:$B$14,2,FALSE),0),IFERROR(VLOOKUP(E19,'Справочники'!$D$5:$E$12,2,FALSE),0),IFERROR(VLOOKUP(F19,'Справочники'!$G$5:$H$12,2,FALSE),0),IFERROR(VLOOKUP(G19,'Справочники'!$J$5:$K$12,2,FALSE),0)))</x:f>
        <x:v>0.8999999999999999</x:v>
      </x:c>
      <x:c r="P19" s="36" t="str"/>
    </x:row>
    <x:row r="20" ht="44" customHeight="1">
      <x:c r="A20" s="39" t="str">
        <x:v>SEC-AUD-01</x:v>
      </x:c>
      <x:c r="B20" s="36" t="str">
        <x:v>BCK-02 registry vs BCK-04 file</x:v>
      </x:c>
      <x:c r="C20" s="36" t="str">
        <x:v>Audit finding</x:v>
      </x:c>
      <x:c r="D20" s="42" t="str">
        <x:v>Заблокировано</x:v>
      </x:c>
      <x:c r="E20" s="42" t="str">
        <x:v>Draft</x:v>
      </x:c>
      <x:c r="F20" s="42" t="str">
        <x:v>Не требуется</x:v>
      </x:c>
      <x:c r="G20" s="42" t="str">
        <x:v>Частично</x:v>
      </x:c>
      <x:c r="H20" s="42" t="str">
        <x:v>Documentation integrity</x:v>
      </x:c>
      <x:c r="I20" s="42" t="str">
        <x:v>P0</x:v>
      </x:c>
      <x:c r="J20" s="36" t="str">
        <x:v>Change BCK-04 registry row Planned → Draft v0.2 Present</x:v>
      </x:c>
      <x:c r="K20" s="36" t="str">
        <x:v>Canonical map is stale</x:v>
      </x:c>
      <x:c r="L20" s="36" t="str">
        <x:v>Security/Privacy + Architecture</x:v>
      </x:c>
      <x:c r="M20" s="36" t="str">
        <x:v>docs/product/RECHARGE_BACKEND_DELIVERY_MAP.md</x:v>
      </x:c>
      <x:c r="N20" s="45" t="n">
        <x:v>46250.5</x:v>
      </x:c>
      <x:c r="O20" s="48" t="n">
        <x:f>IF(B20="","",AVERAGE(IFERROR(VLOOKUP(D20,'Справочники'!$A$5:$B$14,2,FALSE),0),IFERROR(VLOOKUP(E20,'Справочники'!$D$5:$E$12,2,FALSE),0),IFERROR(VLOOKUP(F20,'Справочники'!$G$5:$H$12,2,FALSE),0),IFERROR(VLOOKUP(G20,'Справочники'!$J$5:$K$12,2,FALSE),0)))</x:f>
        <x:v>0.44999999999999996</x:v>
      </x:c>
      <x:c r="P20" s="36" t="str">
        <x:v>BCK-04 v0.2 physically exists</x:v>
      </x:c>
    </x:row>
    <x:row r="21" ht="44" customHeight="1">
      <x:c r="A21" s="39" t="str">
        <x:v>SEC-AUD-02</x:v>
      </x:c>
      <x:c r="B21" s="36" t="str">
        <x:v>BCK-04 coverage matrix target text</x:v>
      </x:c>
      <x:c r="C21" s="36" t="str">
        <x:v>Audit finding</x:v>
      </x:c>
      <x:c r="D21" s="42" t="str">
        <x:v>Заблокировано</x:v>
      </x:c>
      <x:c r="E21" s="42" t="str">
        <x:v>Draft</x:v>
      </x:c>
      <x:c r="F21" s="42" t="str">
        <x:v>Не требуется</x:v>
      </x:c>
      <x:c r="G21" s="42" t="str">
        <x:v>Частично</x:v>
      </x:c>
      <x:c r="H21" s="42" t="str">
        <x:v>Before BCK-04 review</x:v>
      </x:c>
      <x:c r="I21" s="42" t="str">
        <x:v>P0</x:v>
      </x:c>
      <x:c r="J21" s="36" t="str">
        <x:v>Remove stale claims that BCK-04 v0.1 is not created</x:v>
      </x:c>
      <x:c r="K21" s="36" t="str">
        <x:v>Matrix v0.2 contains historical target wording</x:v>
      </x:c>
      <x:c r="L21" s="36" t="str">
        <x:v>Security/Privacy</x:v>
      </x:c>
      <x:c r="M21" s="36" t="str">
        <x:v>docs/product/BACKEND_SECURITY_PRIVACY_COVERAGE_MATRIX.md</x:v>
      </x:c>
      <x:c r="N21" s="45" t="n">
        <x:v>46250.5</x:v>
      </x:c>
      <x:c r="O21" s="48" t="n">
        <x:f>IF(B21="","",AVERAGE(IFERROR(VLOOKUP(D21,'Справочники'!$A$5:$B$14,2,FALSE),0),IFERROR(VLOOKUP(E21,'Справочники'!$D$5:$E$12,2,FALSE),0),IFERROR(VLOOKUP(F21,'Справочники'!$G$5:$H$12,2,FALSE),0),IFERROR(VLOOKUP(G21,'Справочники'!$J$5:$K$12,2,FALSE),0)))</x:f>
        <x:v>0.44999999999999996</x:v>
      </x:c>
      <x:c r="P21" s="36" t="str"/>
    </x:row>
    <x:row r="22" ht="44" customHeight="1">
      <x:c r="A22" s="39" t="str">
        <x:v>SEC-AUD-03</x:v>
      </x:c>
      <x:c r="B22" s="36" t="str">
        <x:v>Physical security enforcement</x:v>
      </x:c>
      <x:c r="C22" s="36" t="str">
        <x:v>Runtime audit</x:v>
      </x:c>
      <x:c r="D22" s="42" t="str">
        <x:v>Отсутствует</x:v>
      </x:c>
      <x:c r="E22" s="42" t="str">
        <x:v>Draft</x:v>
      </x:c>
      <x:c r="F22" s="42" t="str">
        <x:v>Отсутствует</x:v>
      </x:c>
      <x:c r="G22" s="42" t="str">
        <x:v>Не запускались</x:v>
      </x:c>
      <x:c r="H22" s="42" t="str">
        <x:v>G1–G5</x:v>
      </x:c>
      <x:c r="I22" s="42" t="str">
        <x:v>P0</x:v>
      </x:c>
      <x:c r="J22" s="36" t="str">
        <x:v>Implement Rules/IAM/App Check only after approved slices</x:v>
      </x:c>
      <x:c r="K22" s="36" t="str">
        <x:v>No backend/rules/config</x:v>
      </x:c>
      <x:c r="L22" s="36" t="str">
        <x:v>Security</x:v>
      </x:c>
      <x:c r="M22" s="36" t="str">
        <x:v>firebase.json / firestore.rules / storage.rules</x:v>
      </x:c>
      <x:c r="N22" s="45" t="n">
        <x:v>46250.5</x:v>
      </x:c>
      <x:c r="O22" s="48" t="n">
        <x:f>IF(B22="","",AVERAGE(IFERROR(VLOOKUP(D22,'Справочники'!$A$5:$B$14,2,FALSE),0),IFERROR(VLOOKUP(E22,'Справочники'!$D$5:$E$12,2,FALSE),0),IFERROR(VLOOKUP(F22,'Справочники'!$G$5:$H$12,2,FALSE),0),IFERROR(VLOOKUP(G22,'Справочники'!$J$5:$K$12,2,FALSE),0)))</x:f>
        <x:v>0.0625</x:v>
      </x:c>
      <x:c r="P22" s="36" t="str"/>
    </x:row>
    <x:row r="23" ht="44" customHeight="1">
      <x:c r="A23" s="39" t="str">
        <x:v>SEC-AUD-04</x:v>
      </x:c>
      <x:c r="B23" s="36" t="str">
        <x:v>OD-11 minors/age policy</x:v>
      </x:c>
      <x:c r="C23" s="36" t="str">
        <x:v>Open policy decision</x:v>
      </x:c>
      <x:c r="D23" s="42" t="str">
        <x:v>План</x:v>
      </x:c>
      <x:c r="E23" s="42" t="str">
        <x:v>Draft</x:v>
      </x:c>
      <x:c r="F23" s="42" t="str">
        <x:v>Отсутствует</x:v>
      </x:c>
      <x:c r="G23" s="42" t="str">
        <x:v>Не запускались</x:v>
      </x:c>
      <x:c r="H23" s="42" t="str">
        <x:v>R2/G6</x:v>
      </x:c>
      <x:c r="I23" s="42" t="str">
        <x:v>P0</x:v>
      </x:c>
      <x:c r="J23" s="36" t="str">
        <x:v>Legal/Privacy owner decision per market</x:v>
      </x:c>
      <x:c r="K23" s="36" t="str">
        <x:v>Open; age-sensitive paths fail closed</x:v>
      </x:c>
      <x:c r="L23" s="36" t="str">
        <x:v>Security/Privacy</x:v>
      </x:c>
      <x:c r="M23" s="36" t="str">
        <x:v>docs/product/RECHARGE_BACKEND_DELIVERY_MAP.md</x:v>
      </x:c>
      <x:c r="N23" s="45" t="n">
        <x:v>46250.5</x:v>
      </x:c>
      <x:c r="O23" s="48" t="n">
        <x:f>IF(B23="","",AVERAGE(IFERROR(VLOOKUP(D23,'Справочники'!$A$5:$B$14,2,FALSE),0),IFERROR(VLOOKUP(E23,'Справочники'!$D$5:$E$12,2,FALSE),0),IFERROR(VLOOKUP(F23,'Справочники'!$G$5:$H$12,2,FALSE),0),IFERROR(VLOOKUP(G23,'Справочники'!$J$5:$K$12,2,FALSE),0)))</x:f>
        <x:v>0.0875</x:v>
      </x:c>
      <x:c r="P23" s="36" t="str"/>
    </x:row>
    <x:row r="24" ht="44" customHeight="1">
      <x:c r="A24" s="39" t="str">
        <x:v>SEC-AUD-05</x:v>
      </x:c>
      <x:c r="B24" s="36" t="str">
        <x:v>Per-market Legal/Privacy review</x:v>
      </x:c>
      <x:c r="C24" s="36" t="str">
        <x:v>Release gate</x:v>
      </x:c>
      <x:c r="D24" s="42" t="str">
        <x:v>План</x:v>
      </x:c>
      <x:c r="E24" s="42" t="str">
        <x:v>Draft</x:v>
      </x:c>
      <x:c r="F24" s="42" t="str">
        <x:v>Отсутствует</x:v>
      </x:c>
      <x:c r="G24" s="42" t="str">
        <x:v>Не запускались</x:v>
      </x:c>
      <x:c r="H24" s="42" t="str">
        <x:v>LV/EE/LT independent</x:v>
      </x:c>
      <x:c r="I24" s="42" t="str">
        <x:v>P0</x:v>
      </x:c>
      <x:c r="J24" s="36" t="str">
        <x:v>Record residency/retention/age evidence per market</x:v>
      </x:c>
      <x:c r="K24" s="36" t="str">
        <x:v>No completed market review evidence</x:v>
      </x:c>
      <x:c r="L24" s="36" t="str">
        <x:v>Legal/Privacy</x:v>
      </x:c>
      <x:c r="M24" s="36" t="str">
        <x:v>docs/product/BACKEND_SECURITY_PRIVACY_SPEC.md</x:v>
      </x:c>
      <x:c r="N24" s="45" t="n">
        <x:v>46250.5</x:v>
      </x:c>
      <x:c r="O24" s="48" t="n">
        <x:f>IF(B24="","",AVERAGE(IFERROR(VLOOKUP(D24,'Справочники'!$A$5:$B$14,2,FALSE),0),IFERROR(VLOOKUP(E24,'Справочники'!$D$5:$E$12,2,FALSE),0),IFERROR(VLOOKUP(F24,'Справочники'!$G$5:$H$12,2,FALSE),0),IFERROR(VLOOKUP(G24,'Справочники'!$J$5:$K$12,2,FALSE),0)))</x:f>
        <x:v>0.0875</x:v>
      </x:c>
      <x:c r="P24" s="36" t="str"/>
    </x:row>
    <x:row r="25" ht="44" customHeight="1">
      <x:c r="A25" s="39"/>
      <x:c r="B25" s="36"/>
      <x:c r="C25" s="36"/>
      <x:c r="D25" s="42"/>
      <x:c r="E25" s="42"/>
      <x:c r="F25" s="42"/>
      <x:c r="G25" s="42"/>
      <x:c r="H25" s="42"/>
      <x:c r="I25" s="42"/>
      <x:c r="J25" s="36"/>
      <x:c r="K25" s="36"/>
      <x:c r="L25" s="36"/>
      <x:c r="M25" s="36"/>
      <x:c r="N25" s="45"/>
      <x:c r="O25" s="48" t="str">
        <x:f>IF(B25="","",AVERAGE(IFERROR(VLOOKUP(D25,'Справочники'!$A$5:$B$14,2,FALSE),0),IFERROR(VLOOKUP(E25,'Справочники'!$D$5:$E$12,2,FALSE),0),IFERROR(VLOOKUP(F25,'Справочники'!$G$5:$H$12,2,FALSE),0),IFERROR(VLOOKUP(G25,'Справочники'!$J$5:$K$12,2,FALSE),0)))</x:f>
      </x:c>
      <x:c r="P25" s="36"/>
    </x:row>
    <x:row r="26" ht="44" customHeight="1">
      <x:c r="A26" s="39"/>
      <x:c r="B26" s="36"/>
      <x:c r="C26" s="36"/>
      <x:c r="D26" s="42"/>
      <x:c r="E26" s="42"/>
      <x:c r="F26" s="42"/>
      <x:c r="G26" s="42"/>
      <x:c r="H26" s="42"/>
      <x:c r="I26" s="42"/>
      <x:c r="J26" s="36"/>
      <x:c r="K26" s="36"/>
      <x:c r="L26" s="36"/>
      <x:c r="M26" s="36"/>
      <x:c r="N26" s="45"/>
      <x:c r="O26" s="48" t="str">
        <x:f>IF(B26="","",AVERAGE(IFERROR(VLOOKUP(D26,'Справочники'!$A$5:$B$14,2,FALSE),0),IFERROR(VLOOKUP(E26,'Справочники'!$D$5:$E$12,2,FALSE),0),IFERROR(VLOOKUP(F26,'Справочники'!$G$5:$H$12,2,FALSE),0),IFERROR(VLOOKUP(G26,'Справочники'!$J$5:$K$12,2,FALSE),0)))</x:f>
      </x:c>
      <x:c r="P26" s="36"/>
    </x:row>
    <x:row r="27" ht="44" customHeight="1">
      <x:c r="A27" s="39"/>
      <x:c r="B27" s="36"/>
      <x:c r="C27" s="36"/>
      <x:c r="D27" s="42"/>
      <x:c r="E27" s="42"/>
      <x:c r="F27" s="42"/>
      <x:c r="G27" s="42"/>
      <x:c r="H27" s="42"/>
      <x:c r="I27" s="42"/>
      <x:c r="J27" s="36"/>
      <x:c r="K27" s="36"/>
      <x:c r="L27" s="36"/>
      <x:c r="M27" s="36"/>
      <x:c r="N27" s="45"/>
      <x:c r="O27" s="48" t="str">
        <x:f>IF(B27="","",AVERAGE(IFERROR(VLOOKUP(D27,'Справочники'!$A$5:$B$14,2,FALSE),0),IFERROR(VLOOKUP(E27,'Справочники'!$D$5:$E$12,2,FALSE),0),IFERROR(VLOOKUP(F27,'Справочники'!$G$5:$H$12,2,FALSE),0),IFERROR(VLOOKUP(G27,'Справочники'!$J$5:$K$12,2,FALSE),0)))</x:f>
      </x:c>
      <x:c r="P27" s="36"/>
    </x:row>
    <x:row r="28" ht="44" customHeight="1">
      <x:c r="A28" s="39"/>
      <x:c r="B28" s="36"/>
      <x:c r="C28" s="36"/>
      <x:c r="D28" s="42"/>
      <x:c r="E28" s="42"/>
      <x:c r="F28" s="42"/>
      <x:c r="G28" s="42"/>
      <x:c r="H28" s="42"/>
      <x:c r="I28" s="42"/>
      <x:c r="J28" s="36"/>
      <x:c r="K28" s="36"/>
      <x:c r="L28" s="36"/>
      <x:c r="M28" s="36"/>
      <x:c r="N28" s="45"/>
      <x:c r="O28" s="48" t="str">
        <x:f>IF(B28="","",AVERAGE(IFERROR(VLOOKUP(D28,'Справочники'!$A$5:$B$14,2,FALSE),0),IFERROR(VLOOKUP(E28,'Справочники'!$D$5:$E$12,2,FALSE),0),IFERROR(VLOOKUP(F28,'Справочники'!$G$5:$H$12,2,FALSE),0),IFERROR(VLOOKUP(G28,'Справочники'!$J$5:$K$12,2,FALSE),0)))</x:f>
      </x:c>
      <x:c r="P28" s="36"/>
    </x:row>
    <x:row r="29" ht="44" customHeight="1">
      <x:c r="A29" s="39"/>
      <x:c r="B29" s="36"/>
      <x:c r="C29" s="36"/>
      <x:c r="D29" s="42"/>
      <x:c r="E29" s="42"/>
      <x:c r="F29" s="42"/>
      <x:c r="G29" s="42"/>
      <x:c r="H29" s="42"/>
      <x:c r="I29" s="42"/>
      <x:c r="J29" s="36"/>
      <x:c r="K29" s="36"/>
      <x:c r="L29" s="36"/>
      <x:c r="M29" s="36"/>
      <x:c r="N29" s="45"/>
      <x:c r="O29" s="48" t="str">
        <x:f>IF(B29="","",AVERAGE(IFERROR(VLOOKUP(D29,'Справочники'!$A$5:$B$14,2,FALSE),0),IFERROR(VLOOKUP(E29,'Справочники'!$D$5:$E$12,2,FALSE),0),IFERROR(VLOOKUP(F29,'Справочники'!$G$5:$H$12,2,FALSE),0),IFERROR(VLOOKUP(G29,'Справочники'!$J$5:$K$12,2,FALSE),0)))</x:f>
      </x:c>
      <x:c r="P29" s="36"/>
    </x:row>
    <x:row r="30" ht="44" customHeight="1">
      <x:c r="A30" s="39"/>
      <x:c r="B30" s="36"/>
      <x:c r="C30" s="36"/>
      <x:c r="D30" s="42"/>
      <x:c r="E30" s="42"/>
      <x:c r="F30" s="42"/>
      <x:c r="G30" s="42"/>
      <x:c r="H30" s="42"/>
      <x:c r="I30" s="42"/>
      <x:c r="J30" s="36"/>
      <x:c r="K30" s="36"/>
      <x:c r="L30" s="36"/>
      <x:c r="M30" s="36"/>
      <x:c r="N30" s="45"/>
      <x:c r="O30" s="48" t="str">
        <x:f>IF(B30="","",AVERAGE(IFERROR(VLOOKUP(D30,'Справочники'!$A$5:$B$14,2,FALSE),0),IFERROR(VLOOKUP(E30,'Справочники'!$D$5:$E$12,2,FALSE),0),IFERROR(VLOOKUP(F30,'Справочники'!$G$5:$H$12,2,FALSE),0),IFERROR(VLOOKUP(G30,'Справочники'!$J$5:$K$12,2,FALSE),0)))</x:f>
      </x:c>
      <x:c r="P30" s="36"/>
    </x:row>
    <x:row r="31" ht="44" customHeight="1">
      <x:c r="A31" s="39"/>
      <x:c r="B31" s="36"/>
      <x:c r="C31" s="36"/>
      <x:c r="D31" s="42"/>
      <x:c r="E31" s="42"/>
      <x:c r="F31" s="42"/>
      <x:c r="G31" s="42"/>
      <x:c r="H31" s="42"/>
      <x:c r="I31" s="42"/>
      <x:c r="J31" s="36"/>
      <x:c r="K31" s="36"/>
      <x:c r="L31" s="36"/>
      <x:c r="M31" s="36"/>
      <x:c r="N31" s="45"/>
      <x:c r="O31" s="48" t="str">
        <x:f>IF(B31="","",AVERAGE(IFERROR(VLOOKUP(D31,'Справочники'!$A$5:$B$14,2,FALSE),0),IFERROR(VLOOKUP(E31,'Справочники'!$D$5:$E$12,2,FALSE),0),IFERROR(VLOOKUP(F31,'Справочники'!$G$5:$H$12,2,FALSE),0),IFERROR(VLOOKUP(G31,'Справочники'!$J$5:$K$12,2,FALSE),0)))</x:f>
      </x:c>
      <x:c r="P31" s="36"/>
    </x:row>
    <x:row r="32" ht="44" customHeight="1">
      <x:c r="A32" s="39"/>
      <x:c r="B32" s="36"/>
      <x:c r="C32" s="36"/>
      <x:c r="D32" s="42"/>
      <x:c r="E32" s="42"/>
      <x:c r="F32" s="42"/>
      <x:c r="G32" s="42"/>
      <x:c r="H32" s="42"/>
      <x:c r="I32" s="42"/>
      <x:c r="J32" s="36"/>
      <x:c r="K32" s="36"/>
      <x:c r="L32" s="36"/>
      <x:c r="M32" s="36"/>
      <x:c r="N32" s="45"/>
      <x:c r="O32" s="48" t="str">
        <x:f>IF(B32="","",AVERAGE(IFERROR(VLOOKUP(D32,'Справочники'!$A$5:$B$14,2,FALSE),0),IFERROR(VLOOKUP(E32,'Справочники'!$D$5:$E$12,2,FALSE),0),IFERROR(VLOOKUP(F32,'Справочники'!$G$5:$H$12,2,FALSE),0),IFERROR(VLOOKUP(G32,'Справочники'!$J$5:$K$12,2,FALSE),0)))</x:f>
      </x:c>
      <x:c r="P32" s="36"/>
    </x:row>
    <x:row r="33" ht="44" customHeight="1">
      <x:c r="A33" s="39"/>
      <x:c r="B33" s="36"/>
      <x:c r="C33" s="36"/>
      <x:c r="D33" s="42"/>
      <x:c r="E33" s="42"/>
      <x:c r="F33" s="42"/>
      <x:c r="G33" s="42"/>
      <x:c r="H33" s="42"/>
      <x:c r="I33" s="42"/>
      <x:c r="J33" s="36"/>
      <x:c r="K33" s="36"/>
      <x:c r="L33" s="36"/>
      <x:c r="M33" s="36"/>
      <x:c r="N33" s="45"/>
      <x:c r="O33" s="48" t="str">
        <x:f>IF(B33="","",AVERAGE(IFERROR(VLOOKUP(D33,'Справочники'!$A$5:$B$14,2,FALSE),0),IFERROR(VLOOKUP(E33,'Справочники'!$D$5:$E$12,2,FALSE),0),IFERROR(VLOOKUP(F33,'Справочники'!$G$5:$H$12,2,FALSE),0),IFERROR(VLOOKUP(G33,'Справочники'!$J$5:$K$12,2,FALSE),0)))</x:f>
      </x:c>
      <x:c r="P33" s="36"/>
    </x:row>
    <x:row r="34" ht="44" customHeight="1">
      <x:c r="A34" s="39"/>
      <x:c r="B34" s="36"/>
      <x:c r="C34" s="36"/>
      <x:c r="D34" s="42"/>
      <x:c r="E34" s="42"/>
      <x:c r="F34" s="42"/>
      <x:c r="G34" s="42"/>
      <x:c r="H34" s="42"/>
      <x:c r="I34" s="42"/>
      <x:c r="J34" s="36"/>
      <x:c r="K34" s="36"/>
      <x:c r="L34" s="36"/>
      <x:c r="M34" s="36"/>
      <x:c r="N34" s="45"/>
      <x:c r="O34" s="48" t="str">
        <x:f>IF(B34="","",AVERAGE(IFERROR(VLOOKUP(D34,'Справочники'!$A$5:$B$14,2,FALSE),0),IFERROR(VLOOKUP(E34,'Справочники'!$D$5:$E$12,2,FALSE),0),IFERROR(VLOOKUP(F34,'Справочники'!$G$5:$H$12,2,FALSE),0),IFERROR(VLOOKUP(G34,'Справочники'!$J$5:$K$12,2,FALSE),0)))</x:f>
      </x:c>
      <x:c r="P34" s="36"/>
    </x:row>
    <x:row r="35" ht="44" customHeight="1">
      <x:c r="A35" s="39"/>
      <x:c r="B35" s="36"/>
      <x:c r="C35" s="36"/>
      <x:c r="D35" s="42"/>
      <x:c r="E35" s="42"/>
      <x:c r="F35" s="42"/>
      <x:c r="G35" s="42"/>
      <x:c r="H35" s="42"/>
      <x:c r="I35" s="42"/>
      <x:c r="J35" s="36"/>
      <x:c r="K35" s="36"/>
      <x:c r="L35" s="36"/>
      <x:c r="M35" s="36"/>
      <x:c r="N35" s="45"/>
      <x:c r="O35" s="48" t="str">
        <x:f>IF(B35="","",AVERAGE(IFERROR(VLOOKUP(D35,'Справочники'!$A$5:$B$14,2,FALSE),0),IFERROR(VLOOKUP(E35,'Справочники'!$D$5:$E$12,2,FALSE),0),IFERROR(VLOOKUP(F35,'Справочники'!$G$5:$H$12,2,FALSE),0),IFERROR(VLOOKUP(G35,'Справочники'!$J$5:$K$12,2,FALSE),0)))</x:f>
      </x:c>
      <x:c r="P35" s="36"/>
    </x:row>
    <x:row r="36" ht="44" customHeight="1">
      <x:c r="A36" s="39"/>
      <x:c r="B36" s="36"/>
      <x:c r="C36" s="36"/>
      <x:c r="D36" s="42"/>
      <x:c r="E36" s="42"/>
      <x:c r="F36" s="42"/>
      <x:c r="G36" s="42"/>
      <x:c r="H36" s="42"/>
      <x:c r="I36" s="42"/>
      <x:c r="J36" s="36"/>
      <x:c r="K36" s="36"/>
      <x:c r="L36" s="36"/>
      <x:c r="M36" s="36"/>
      <x:c r="N36" s="45"/>
      <x:c r="O36" s="48" t="str">
        <x:f>IF(B36="","",AVERAGE(IFERROR(VLOOKUP(D36,'Справочники'!$A$5:$B$14,2,FALSE),0),IFERROR(VLOOKUP(E36,'Справочники'!$D$5:$E$12,2,FALSE),0),IFERROR(VLOOKUP(F36,'Справочники'!$G$5:$H$12,2,FALSE),0),IFERROR(VLOOKUP(G36,'Справочники'!$J$5:$K$12,2,FALSE),0)))</x:f>
      </x:c>
      <x:c r="P36" s="36"/>
    </x:row>
    <x:row r="37" ht="44" customHeight="1">
      <x:c r="A37" s="39"/>
      <x:c r="B37" s="36"/>
      <x:c r="C37" s="36"/>
      <x:c r="D37" s="42"/>
      <x:c r="E37" s="42"/>
      <x:c r="F37" s="42"/>
      <x:c r="G37" s="42"/>
      <x:c r="H37" s="42"/>
      <x:c r="I37" s="42"/>
      <x:c r="J37" s="36"/>
      <x:c r="K37" s="36"/>
      <x:c r="L37" s="36"/>
      <x:c r="M37" s="36"/>
      <x:c r="N37" s="45"/>
      <x:c r="O37" s="48" t="str">
        <x:f>IF(B37="","",AVERAGE(IFERROR(VLOOKUP(D37,'Справочники'!$A$5:$B$14,2,FALSE),0),IFERROR(VLOOKUP(E37,'Справочники'!$D$5:$E$12,2,FALSE),0),IFERROR(VLOOKUP(F37,'Справочники'!$G$5:$H$12,2,FALSE),0),IFERROR(VLOOKUP(G37,'Справочники'!$J$5:$K$12,2,FALSE),0)))</x:f>
      </x:c>
      <x:c r="P37" s="36"/>
    </x:row>
    <x:row r="38" ht="44" customHeight="1">
      <x:c r="A38" s="39"/>
      <x:c r="B38" s="36"/>
      <x:c r="C38" s="36"/>
      <x:c r="D38" s="42"/>
      <x:c r="E38" s="42"/>
      <x:c r="F38" s="42"/>
      <x:c r="G38" s="42"/>
      <x:c r="H38" s="42"/>
      <x:c r="I38" s="42"/>
      <x:c r="J38" s="36"/>
      <x:c r="K38" s="36"/>
      <x:c r="L38" s="36"/>
      <x:c r="M38" s="36"/>
      <x:c r="N38" s="45"/>
      <x:c r="O38" s="48" t="str">
        <x:f>IF(B38="","",AVERAGE(IFERROR(VLOOKUP(D38,'Справочники'!$A$5:$B$14,2,FALSE),0),IFERROR(VLOOKUP(E38,'Справочники'!$D$5:$E$12,2,FALSE),0),IFERROR(VLOOKUP(F38,'Справочники'!$G$5:$H$12,2,FALSE),0),IFERROR(VLOOKUP(G38,'Справочники'!$J$5:$K$12,2,FALSE),0)))</x:f>
      </x:c>
      <x:c r="P38" s="36"/>
    </x:row>
    <x:row r="39" ht="44" customHeight="1">
      <x:c r="A39" s="39"/>
      <x:c r="B39" s="36"/>
      <x:c r="C39" s="36"/>
      <x:c r="D39" s="42"/>
      <x:c r="E39" s="42"/>
      <x:c r="F39" s="42"/>
      <x:c r="G39" s="42"/>
      <x:c r="H39" s="42"/>
      <x:c r="I39" s="42"/>
      <x:c r="J39" s="36"/>
      <x:c r="K39" s="36"/>
      <x:c r="L39" s="36"/>
      <x:c r="M39" s="36"/>
      <x:c r="N39" s="45"/>
      <x:c r="O39" s="48" t="str">
        <x:f>IF(B39="","",AVERAGE(IFERROR(VLOOKUP(D39,'Справочники'!$A$5:$B$14,2,FALSE),0),IFERROR(VLOOKUP(E39,'Справочники'!$D$5:$E$12,2,FALSE),0),IFERROR(VLOOKUP(F39,'Справочники'!$G$5:$H$12,2,FALSE),0),IFERROR(VLOOKUP(G39,'Справочники'!$J$5:$K$12,2,FALSE),0)))</x:f>
      </x:c>
      <x:c r="P39" s="36"/>
    </x:row>
    <x:row r="40" ht="44" customHeight="1">
      <x:c r="A40" s="39"/>
      <x:c r="B40" s="36"/>
      <x:c r="C40" s="36"/>
      <x:c r="D40" s="42"/>
      <x:c r="E40" s="42"/>
      <x:c r="F40" s="42"/>
      <x:c r="G40" s="42"/>
      <x:c r="H40" s="42"/>
      <x:c r="I40" s="42"/>
      <x:c r="J40" s="36"/>
      <x:c r="K40" s="36"/>
      <x:c r="L40" s="36"/>
      <x:c r="M40" s="36"/>
      <x:c r="N40" s="45"/>
      <x:c r="O40" s="48" t="str">
        <x:f>IF(B40="","",AVERAGE(IFERROR(VLOOKUP(D40,'Справочники'!$A$5:$B$14,2,FALSE),0),IFERROR(VLOOKUP(E40,'Справочники'!$D$5:$E$12,2,FALSE),0),IFERROR(VLOOKUP(F40,'Справочники'!$G$5:$H$12,2,FALSE),0),IFERROR(VLOOKUP(G40,'Справочники'!$J$5:$K$12,2,FALSE),0)))</x:f>
      </x:c>
      <x:c r="P40" s="36"/>
    </x:row>
    <x:row r="41" ht="44" customHeight="1">
      <x:c r="A41" s="39"/>
      <x:c r="B41" s="36"/>
      <x:c r="C41" s="36"/>
      <x:c r="D41" s="42"/>
      <x:c r="E41" s="42"/>
      <x:c r="F41" s="42"/>
      <x:c r="G41" s="42"/>
      <x:c r="H41" s="42"/>
      <x:c r="I41" s="42"/>
      <x:c r="J41" s="36"/>
      <x:c r="K41" s="36"/>
      <x:c r="L41" s="36"/>
      <x:c r="M41" s="36"/>
      <x:c r="N41" s="45"/>
      <x:c r="O41" s="48" t="str">
        <x:f>IF(B41="","",AVERAGE(IFERROR(VLOOKUP(D41,'Справочники'!$A$5:$B$14,2,FALSE),0),IFERROR(VLOOKUP(E41,'Справочники'!$D$5:$E$12,2,FALSE),0),IFERROR(VLOOKUP(F41,'Справочники'!$G$5:$H$12,2,FALSE),0),IFERROR(VLOOKUP(G41,'Справочники'!$J$5:$K$12,2,FALSE),0)))</x:f>
      </x:c>
      <x:c r="P41" s="36"/>
    </x:row>
    <x:row r="42" ht="44" customHeight="1">
      <x:c r="A42" s="39"/>
      <x:c r="B42" s="36"/>
      <x:c r="C42" s="36"/>
      <x:c r="D42" s="42"/>
      <x:c r="E42" s="42"/>
      <x:c r="F42" s="42"/>
      <x:c r="G42" s="42"/>
      <x:c r="H42" s="42"/>
      <x:c r="I42" s="42"/>
      <x:c r="J42" s="36"/>
      <x:c r="K42" s="36"/>
      <x:c r="L42" s="36"/>
      <x:c r="M42" s="36"/>
      <x:c r="N42" s="45"/>
      <x:c r="O42" s="48" t="str">
        <x:f>IF(B42="","",AVERAGE(IFERROR(VLOOKUP(D42,'Справочники'!$A$5:$B$14,2,FALSE),0),IFERROR(VLOOKUP(E42,'Справочники'!$D$5:$E$12,2,FALSE),0),IFERROR(VLOOKUP(F42,'Справочники'!$G$5:$H$12,2,FALSE),0),IFERROR(VLOOKUP(G42,'Справочники'!$J$5:$K$12,2,FALSE),0)))</x:f>
      </x:c>
      <x:c r="P42" s="36"/>
    </x:row>
    <x:row r="43" ht="44" customHeight="1">
      <x:c r="A43" s="39"/>
      <x:c r="B43" s="36"/>
      <x:c r="C43" s="36"/>
      <x:c r="D43" s="42"/>
      <x:c r="E43" s="42"/>
      <x:c r="F43" s="42"/>
      <x:c r="G43" s="42"/>
      <x:c r="H43" s="42"/>
      <x:c r="I43" s="42"/>
      <x:c r="J43" s="36"/>
      <x:c r="K43" s="36"/>
      <x:c r="L43" s="36"/>
      <x:c r="M43" s="36"/>
      <x:c r="N43" s="45"/>
      <x:c r="O43" s="48" t="str">
        <x:f>IF(B43="","",AVERAGE(IFERROR(VLOOKUP(D43,'Справочники'!$A$5:$B$14,2,FALSE),0),IFERROR(VLOOKUP(E43,'Справочники'!$D$5:$E$12,2,FALSE),0),IFERROR(VLOOKUP(F43,'Справочники'!$G$5:$H$12,2,FALSE),0),IFERROR(VLOOKUP(G43,'Справочники'!$J$5:$K$12,2,FALSE),0)))</x:f>
      </x:c>
      <x:c r="P43" s="36"/>
    </x:row>
    <x:row r="44" ht="44" customHeight="1">
      <x:c r="A44" s="39"/>
      <x:c r="B44" s="36"/>
      <x:c r="C44" s="36"/>
      <x:c r="D44" s="42"/>
      <x:c r="E44" s="42"/>
      <x:c r="F44" s="42"/>
      <x:c r="G44" s="42"/>
      <x:c r="H44" s="42"/>
      <x:c r="I44" s="42"/>
      <x:c r="J44" s="36"/>
      <x:c r="K44" s="36"/>
      <x:c r="L44" s="36"/>
      <x:c r="M44" s="36"/>
      <x:c r="N44" s="45"/>
      <x:c r="O44" s="48" t="str">
        <x:f>IF(B44="","",AVERAGE(IFERROR(VLOOKUP(D44,'Справочники'!$A$5:$B$14,2,FALSE),0),IFERROR(VLOOKUP(E44,'Справочники'!$D$5:$E$12,2,FALSE),0),IFERROR(VLOOKUP(F44,'Справочники'!$G$5:$H$12,2,FALSE),0),IFERROR(VLOOKUP(G44,'Справочники'!$J$5:$K$12,2,FALSE),0)))</x:f>
      </x:c>
      <x:c r="P44" s="36"/>
    </x:row>
    <x:row r="45" ht="44" customHeight="1">
      <x:c r="A45" s="39"/>
      <x:c r="B45" s="36"/>
      <x:c r="C45" s="36"/>
      <x:c r="D45" s="42"/>
      <x:c r="E45" s="42"/>
      <x:c r="F45" s="42"/>
      <x:c r="G45" s="42"/>
      <x:c r="H45" s="42"/>
      <x:c r="I45" s="42"/>
      <x:c r="J45" s="36"/>
      <x:c r="K45" s="36"/>
      <x:c r="L45" s="36"/>
      <x:c r="M45" s="36"/>
      <x:c r="N45" s="45"/>
      <x:c r="O45" s="48" t="str">
        <x:f>IF(B45="","",AVERAGE(IFERROR(VLOOKUP(D45,'Справочники'!$A$5:$B$14,2,FALSE),0),IFERROR(VLOOKUP(E45,'Справочники'!$D$5:$E$12,2,FALSE),0),IFERROR(VLOOKUP(F45,'Справочники'!$G$5:$H$12,2,FALSE),0),IFERROR(VLOOKUP(G45,'Справочники'!$J$5:$K$12,2,FALSE),0)))</x:f>
      </x:c>
      <x:c r="P45" s="36"/>
    </x:row>
    <x:row r="46" ht="44" customHeight="1">
      <x:c r="A46" s="39"/>
      <x:c r="B46" s="36"/>
      <x:c r="C46" s="36"/>
      <x:c r="D46" s="42"/>
      <x:c r="E46" s="42"/>
      <x:c r="F46" s="42"/>
      <x:c r="G46" s="42"/>
      <x:c r="H46" s="42"/>
      <x:c r="I46" s="42"/>
      <x:c r="J46" s="36"/>
      <x:c r="K46" s="36"/>
      <x:c r="L46" s="36"/>
      <x:c r="M46" s="36"/>
      <x:c r="N46" s="45"/>
      <x:c r="O46" s="48" t="str">
        <x:f>IF(B46="","",AVERAGE(IFERROR(VLOOKUP(D46,'Справочники'!$A$5:$B$14,2,FALSE),0),IFERROR(VLOOKUP(E46,'Справочники'!$D$5:$E$12,2,FALSE),0),IFERROR(VLOOKUP(F46,'Справочники'!$G$5:$H$12,2,FALSE),0),IFERROR(VLOOKUP(G46,'Справочники'!$J$5:$K$12,2,FALSE),0)))</x:f>
      </x:c>
      <x:c r="P46" s="36"/>
    </x:row>
    <x:row r="47" ht="44" customHeight="1">
      <x:c r="A47" s="39"/>
      <x:c r="B47" s="36"/>
      <x:c r="C47" s="36"/>
      <x:c r="D47" s="42"/>
      <x:c r="E47" s="42"/>
      <x:c r="F47" s="42"/>
      <x:c r="G47" s="42"/>
      <x:c r="H47" s="42"/>
      <x:c r="I47" s="42"/>
      <x:c r="J47" s="36"/>
      <x:c r="K47" s="36"/>
      <x:c r="L47" s="36"/>
      <x:c r="M47" s="36"/>
      <x:c r="N47" s="45"/>
      <x:c r="O47" s="48" t="str">
        <x:f>IF(B47="","",AVERAGE(IFERROR(VLOOKUP(D47,'Справочники'!$A$5:$B$14,2,FALSE),0),IFERROR(VLOOKUP(E47,'Справочники'!$D$5:$E$12,2,FALSE),0),IFERROR(VLOOKUP(F47,'Справочники'!$G$5:$H$12,2,FALSE),0),IFERROR(VLOOKUP(G47,'Справочники'!$J$5:$K$12,2,FALSE),0)))</x:f>
      </x:c>
      <x:c r="P47" s="36"/>
    </x:row>
    <x:row r="48" ht="44" customHeight="1">
      <x:c r="A48" s="39"/>
      <x:c r="B48" s="36"/>
      <x:c r="C48" s="36"/>
      <x:c r="D48" s="42"/>
      <x:c r="E48" s="42"/>
      <x:c r="F48" s="42"/>
      <x:c r="G48" s="42"/>
      <x:c r="H48" s="42"/>
      <x:c r="I48" s="42"/>
      <x:c r="J48" s="36"/>
      <x:c r="K48" s="36"/>
      <x:c r="L48" s="36"/>
      <x:c r="M48" s="36"/>
      <x:c r="N48" s="45"/>
      <x:c r="O48" s="48" t="str">
        <x:f>IF(B48="","",AVERAGE(IFERROR(VLOOKUP(D48,'Справочники'!$A$5:$B$14,2,FALSE),0),IFERROR(VLOOKUP(E48,'Справочники'!$D$5:$E$12,2,FALSE),0),IFERROR(VLOOKUP(F48,'Справочники'!$G$5:$H$12,2,FALSE),0),IFERROR(VLOOKUP(G48,'Справочники'!$J$5:$K$12,2,FALSE),0)))</x:f>
      </x:c>
      <x:c r="P48" s="36"/>
    </x:row>
    <x:row r="49" ht="44" customHeight="1">
      <x:c r="A49" s="39"/>
      <x:c r="B49" s="36"/>
      <x:c r="C49" s="36"/>
      <x:c r="D49" s="42"/>
      <x:c r="E49" s="42"/>
      <x:c r="F49" s="42"/>
      <x:c r="G49" s="42"/>
      <x:c r="H49" s="42"/>
      <x:c r="I49" s="42"/>
      <x:c r="J49" s="36"/>
      <x:c r="K49" s="36"/>
      <x:c r="L49" s="36"/>
      <x:c r="M49" s="36"/>
      <x:c r="N49" s="45"/>
      <x:c r="O49" s="48" t="str">
        <x:f>IF(B49="","",AVERAGE(IFERROR(VLOOKUP(D49,'Справочники'!$A$5:$B$14,2,FALSE),0),IFERROR(VLOOKUP(E49,'Справочники'!$D$5:$E$12,2,FALSE),0),IFERROR(VLOOKUP(F49,'Справочники'!$G$5:$H$12,2,FALSE),0),IFERROR(VLOOKUP(G49,'Справочники'!$J$5:$K$12,2,FALSE),0)))</x:f>
      </x:c>
      <x:c r="P49" s="36"/>
    </x:row>
    <x:row r="50" ht="44" customHeight="1">
      <x:c r="A50" s="39"/>
      <x:c r="B50" s="36"/>
      <x:c r="C50" s="36"/>
      <x:c r="D50" s="42"/>
      <x:c r="E50" s="42"/>
      <x:c r="F50" s="42"/>
      <x:c r="G50" s="42"/>
      <x:c r="H50" s="42"/>
      <x:c r="I50" s="42"/>
      <x:c r="J50" s="36"/>
      <x:c r="K50" s="36"/>
      <x:c r="L50" s="36"/>
      <x:c r="M50" s="36"/>
      <x:c r="N50" s="45"/>
      <x:c r="O50" s="48" t="str">
        <x:f>IF(B50="","",AVERAGE(IFERROR(VLOOKUP(D50,'Справочники'!$A$5:$B$14,2,FALSE),0),IFERROR(VLOOKUP(E50,'Справочники'!$D$5:$E$12,2,FALSE),0),IFERROR(VLOOKUP(F50,'Справочники'!$G$5:$H$12,2,FALSE),0),IFERROR(VLOOKUP(G50,'Справочники'!$J$5:$K$12,2,FALSE),0)))</x:f>
      </x:c>
      <x:c r="P50" s="36"/>
    </x:row>
    <x:row r="51" ht="44" customHeight="1">
      <x:c r="A51" s="39"/>
      <x:c r="B51" s="36"/>
      <x:c r="C51" s="36"/>
      <x:c r="D51" s="42"/>
      <x:c r="E51" s="42"/>
      <x:c r="F51" s="42"/>
      <x:c r="G51" s="42"/>
      <x:c r="H51" s="42"/>
      <x:c r="I51" s="42"/>
      <x:c r="J51" s="36"/>
      <x:c r="K51" s="36"/>
      <x:c r="L51" s="36"/>
      <x:c r="M51" s="36"/>
      <x:c r="N51" s="45"/>
      <x:c r="O51" s="48" t="str">
        <x:f>IF(B51="","",AVERAGE(IFERROR(VLOOKUP(D51,'Справочники'!$A$5:$B$14,2,FALSE),0),IFERROR(VLOOKUP(E51,'Справочники'!$D$5:$E$12,2,FALSE),0),IFERROR(VLOOKUP(F51,'Справочники'!$G$5:$H$12,2,FALSE),0),IFERROR(VLOOKUP(G51,'Справочники'!$J$5:$K$12,2,FALSE),0)))</x:f>
      </x:c>
      <x:c r="P51" s="36"/>
    </x:row>
    <x:row r="52" ht="44" customHeight="1">
      <x:c r="A52" s="39"/>
      <x:c r="B52" s="36"/>
      <x:c r="C52" s="36"/>
      <x:c r="D52" s="42"/>
      <x:c r="E52" s="42"/>
      <x:c r="F52" s="42"/>
      <x:c r="G52" s="42"/>
      <x:c r="H52" s="42"/>
      <x:c r="I52" s="42"/>
      <x:c r="J52" s="36"/>
      <x:c r="K52" s="36"/>
      <x:c r="L52" s="36"/>
      <x:c r="M52" s="36"/>
      <x:c r="N52" s="45"/>
      <x:c r="O52" s="48" t="str">
        <x:f>IF(B52="","",AVERAGE(IFERROR(VLOOKUP(D52,'Справочники'!$A$5:$B$14,2,FALSE),0),IFERROR(VLOOKUP(E52,'Справочники'!$D$5:$E$12,2,FALSE),0),IFERROR(VLOOKUP(F52,'Справочники'!$G$5:$H$12,2,FALSE),0),IFERROR(VLOOKUP(G52,'Справочники'!$J$5:$K$12,2,FALSE),0)))</x:f>
      </x:c>
      <x:c r="P52" s="36"/>
    </x:row>
    <x:row r="53" ht="44" customHeight="1">
      <x:c r="A53" s="39"/>
      <x:c r="B53" s="36"/>
      <x:c r="C53" s="36"/>
      <x:c r="D53" s="42"/>
      <x:c r="E53" s="42"/>
      <x:c r="F53" s="42"/>
      <x:c r="G53" s="42"/>
      <x:c r="H53" s="42"/>
      <x:c r="I53" s="42"/>
      <x:c r="J53" s="36"/>
      <x:c r="K53" s="36"/>
      <x:c r="L53" s="36"/>
      <x:c r="M53" s="36"/>
      <x:c r="N53" s="45"/>
      <x:c r="O53" s="48" t="str">
        <x:f>IF(B53="","",AVERAGE(IFERROR(VLOOKUP(D53,'Справочники'!$A$5:$B$14,2,FALSE),0),IFERROR(VLOOKUP(E53,'Справочники'!$D$5:$E$12,2,FALSE),0),IFERROR(VLOOKUP(F53,'Справочники'!$G$5:$H$12,2,FALSE),0),IFERROR(VLOOKUP(G53,'Справочники'!$J$5:$K$12,2,FALSE),0)))</x:f>
      </x:c>
      <x:c r="P53" s="36"/>
    </x:row>
    <x:row r="54" ht="44" customHeight="1">
      <x:c r="A54" s="39"/>
      <x:c r="B54" s="36"/>
      <x:c r="C54" s="36"/>
      <x:c r="D54" s="42"/>
      <x:c r="E54" s="42"/>
      <x:c r="F54" s="42"/>
      <x:c r="G54" s="42"/>
      <x:c r="H54" s="42"/>
      <x:c r="I54" s="42"/>
      <x:c r="J54" s="36"/>
      <x:c r="K54" s="36"/>
      <x:c r="L54" s="36"/>
      <x:c r="M54" s="36"/>
      <x:c r="N54" s="45"/>
      <x:c r="O54" s="48" t="str">
        <x:f>IF(B54="","",AVERAGE(IFERROR(VLOOKUP(D54,'Справочники'!$A$5:$B$14,2,FALSE),0),IFERROR(VLOOKUP(E54,'Справочники'!$D$5:$E$12,2,FALSE),0),IFERROR(VLOOKUP(F54,'Справочники'!$G$5:$H$12,2,FALSE),0),IFERROR(VLOOKUP(G54,'Справочники'!$J$5:$K$12,2,FALSE),0)))</x:f>
      </x:c>
      <x:c r="P54" s="36"/>
    </x:row>
    <x:row r="55" ht="44" customHeight="1">
      <x:c r="A55" s="39"/>
      <x:c r="B55" s="36"/>
      <x:c r="C55" s="36"/>
      <x:c r="D55" s="42"/>
      <x:c r="E55" s="42"/>
      <x:c r="F55" s="42"/>
      <x:c r="G55" s="42"/>
      <x:c r="H55" s="42"/>
      <x:c r="I55" s="42"/>
      <x:c r="J55" s="36"/>
      <x:c r="K55" s="36"/>
      <x:c r="L55" s="36"/>
      <x:c r="M55" s="36"/>
      <x:c r="N55" s="45"/>
      <x:c r="O55" s="48" t="str">
        <x:f>IF(B55="","",AVERAGE(IFERROR(VLOOKUP(D55,'Справочники'!$A$5:$B$14,2,FALSE),0),IFERROR(VLOOKUP(E55,'Справочники'!$D$5:$E$12,2,FALSE),0),IFERROR(VLOOKUP(F55,'Справочники'!$G$5:$H$12,2,FALSE),0),IFERROR(VLOOKUP(G55,'Справочники'!$J$5:$K$12,2,FALSE),0)))</x:f>
      </x:c>
      <x:c r="P55" s="36"/>
    </x:row>
    <x:row r="56" ht="44" customHeight="1">
      <x:c r="A56" s="39"/>
      <x:c r="B56" s="36"/>
      <x:c r="C56" s="36"/>
      <x:c r="D56" s="42"/>
      <x:c r="E56" s="42"/>
      <x:c r="F56" s="42"/>
      <x:c r="G56" s="42"/>
      <x:c r="H56" s="42"/>
      <x:c r="I56" s="42"/>
      <x:c r="J56" s="36"/>
      <x:c r="K56" s="36"/>
      <x:c r="L56" s="36"/>
      <x:c r="M56" s="36"/>
      <x:c r="N56" s="45"/>
      <x:c r="O56" s="48" t="str">
        <x:f>IF(B56="","",AVERAGE(IFERROR(VLOOKUP(D56,'Справочники'!$A$5:$B$14,2,FALSE),0),IFERROR(VLOOKUP(E56,'Справочники'!$D$5:$E$12,2,FALSE),0),IFERROR(VLOOKUP(F56,'Справочники'!$G$5:$H$12,2,FALSE),0),IFERROR(VLOOKUP(G56,'Справочники'!$J$5:$K$12,2,FALSE),0)))</x:f>
      </x:c>
      <x:c r="P56" s="36"/>
    </x:row>
    <x:row r="57" ht="44" customHeight="1">
      <x:c r="A57" s="39"/>
      <x:c r="B57" s="36"/>
      <x:c r="C57" s="36"/>
      <x:c r="D57" s="42"/>
      <x:c r="E57" s="42"/>
      <x:c r="F57" s="42"/>
      <x:c r="G57" s="42"/>
      <x:c r="H57" s="42"/>
      <x:c r="I57" s="42"/>
      <x:c r="J57" s="36"/>
      <x:c r="K57" s="36"/>
      <x:c r="L57" s="36"/>
      <x:c r="M57" s="36"/>
      <x:c r="N57" s="45"/>
      <x:c r="O57" s="48" t="str">
        <x:f>IF(B57="","",AVERAGE(IFERROR(VLOOKUP(D57,'Справочники'!$A$5:$B$14,2,FALSE),0),IFERROR(VLOOKUP(E57,'Справочники'!$D$5:$E$12,2,FALSE),0),IFERROR(VLOOKUP(F57,'Справочники'!$G$5:$H$12,2,FALSE),0),IFERROR(VLOOKUP(G57,'Справочники'!$J$5:$K$12,2,FALSE),0)))</x:f>
      </x:c>
      <x:c r="P57" s="36"/>
    </x:row>
    <x:row r="58" ht="44" customHeight="1">
      <x:c r="A58" s="39"/>
      <x:c r="B58" s="36"/>
      <x:c r="C58" s="36"/>
      <x:c r="D58" s="42"/>
      <x:c r="E58" s="42"/>
      <x:c r="F58" s="42"/>
      <x:c r="G58" s="42"/>
      <x:c r="H58" s="42"/>
      <x:c r="I58" s="42"/>
      <x:c r="J58" s="36"/>
      <x:c r="K58" s="36"/>
      <x:c r="L58" s="36"/>
      <x:c r="M58" s="36"/>
      <x:c r="N58" s="45"/>
      <x:c r="O58" s="48" t="str">
        <x:f>IF(B58="","",AVERAGE(IFERROR(VLOOKUP(D58,'Справочники'!$A$5:$B$14,2,FALSE),0),IFERROR(VLOOKUP(E58,'Справочники'!$D$5:$E$12,2,FALSE),0),IFERROR(VLOOKUP(F58,'Справочники'!$G$5:$H$12,2,FALSE),0),IFERROR(VLOOKUP(G58,'Справочники'!$J$5:$K$12,2,FALSE),0)))</x:f>
      </x:c>
      <x:c r="P58" s="36"/>
    </x:row>
    <x:row r="59" ht="44" customHeight="1">
      <x:c r="A59" s="39"/>
      <x:c r="B59" s="36"/>
      <x:c r="C59" s="36"/>
      <x:c r="D59" s="42"/>
      <x:c r="E59" s="42"/>
      <x:c r="F59" s="42"/>
      <x:c r="G59" s="42"/>
      <x:c r="H59" s="42"/>
      <x:c r="I59" s="42"/>
      <x:c r="J59" s="36"/>
      <x:c r="K59" s="36"/>
      <x:c r="L59" s="36"/>
      <x:c r="M59" s="36"/>
      <x:c r="N59" s="45"/>
      <x:c r="O59" s="48" t="str">
        <x:f>IF(B59="","",AVERAGE(IFERROR(VLOOKUP(D59,'Справочники'!$A$5:$B$14,2,FALSE),0),IFERROR(VLOOKUP(E59,'Справочники'!$D$5:$E$12,2,FALSE),0),IFERROR(VLOOKUP(F59,'Справочники'!$G$5:$H$12,2,FALSE),0),IFERROR(VLOOKUP(G59,'Справочники'!$J$5:$K$12,2,FALSE),0)))</x:f>
      </x:c>
      <x:c r="P59" s="36"/>
    </x:row>
    <x:row r="60" ht="44" customHeight="1">
      <x:c r="A60" s="39"/>
      <x:c r="B60" s="36"/>
      <x:c r="C60" s="36"/>
      <x:c r="D60" s="42"/>
      <x:c r="E60" s="42"/>
      <x:c r="F60" s="42"/>
      <x:c r="G60" s="42"/>
      <x:c r="H60" s="42"/>
      <x:c r="I60" s="42"/>
      <x:c r="J60" s="36"/>
      <x:c r="K60" s="36"/>
      <x:c r="L60" s="36"/>
      <x:c r="M60" s="36"/>
      <x:c r="N60" s="45"/>
      <x:c r="O60" s="48" t="str">
        <x:f>IF(B60="","",AVERAGE(IFERROR(VLOOKUP(D60,'Справочники'!$A$5:$B$14,2,FALSE),0),IFERROR(VLOOKUP(E60,'Справочники'!$D$5:$E$12,2,FALSE),0),IFERROR(VLOOKUP(F60,'Справочники'!$G$5:$H$12,2,FALSE),0),IFERROR(VLOOKUP(G60,'Справочники'!$J$5:$K$12,2,FALSE),0)))</x:f>
      </x:c>
      <x:c r="P60" s="36"/>
    </x:row>
    <x:row r="61" ht="44" customHeight="1">
      <x:c r="A61" s="39"/>
      <x:c r="B61" s="36"/>
      <x:c r="C61" s="36"/>
      <x:c r="D61" s="42"/>
      <x:c r="E61" s="42"/>
      <x:c r="F61" s="42"/>
      <x:c r="G61" s="42"/>
      <x:c r="H61" s="42"/>
      <x:c r="I61" s="42"/>
      <x:c r="J61" s="36"/>
      <x:c r="K61" s="36"/>
      <x:c r="L61" s="36"/>
      <x:c r="M61" s="36"/>
      <x:c r="N61" s="45"/>
      <x:c r="O61" s="48" t="str">
        <x:f>IF(B61="","",AVERAGE(IFERROR(VLOOKUP(D61,'Справочники'!$A$5:$B$14,2,FALSE),0),IFERROR(VLOOKUP(E61,'Справочники'!$D$5:$E$12,2,FALSE),0),IFERROR(VLOOKUP(F61,'Справочники'!$G$5:$H$12,2,FALSE),0),IFERROR(VLOOKUP(G61,'Справочники'!$J$5:$K$12,2,FALSE),0)))</x:f>
      </x:c>
      <x:c r="P61" s="36"/>
    </x:row>
    <x:row r="62" ht="44" customHeight="1">
      <x:c r="A62" s="39"/>
      <x:c r="B62" s="36"/>
      <x:c r="C62" s="36"/>
      <x:c r="D62" s="42"/>
      <x:c r="E62" s="42"/>
      <x:c r="F62" s="42"/>
      <x:c r="G62" s="42"/>
      <x:c r="H62" s="42"/>
      <x:c r="I62" s="42"/>
      <x:c r="J62" s="36"/>
      <x:c r="K62" s="36"/>
      <x:c r="L62" s="36"/>
      <x:c r="M62" s="36"/>
      <x:c r="N62" s="45"/>
      <x:c r="O62" s="48" t="str">
        <x:f>IF(B62="","",AVERAGE(IFERROR(VLOOKUP(D62,'Справочники'!$A$5:$B$14,2,FALSE),0),IFERROR(VLOOKUP(E62,'Справочники'!$D$5:$E$12,2,FALSE),0),IFERROR(VLOOKUP(F62,'Справочники'!$G$5:$H$12,2,FALSE),0),IFERROR(VLOOKUP(G62,'Справочники'!$J$5:$K$12,2,FALSE),0)))</x:f>
      </x:c>
      <x:c r="P62" s="36"/>
    </x:row>
    <x:row r="63" ht="44" customHeight="1">
      <x:c r="A63" s="39"/>
      <x:c r="B63" s="36"/>
      <x:c r="C63" s="36"/>
      <x:c r="D63" s="42"/>
      <x:c r="E63" s="42"/>
      <x:c r="F63" s="42"/>
      <x:c r="G63" s="42"/>
      <x:c r="H63" s="42"/>
      <x:c r="I63" s="42"/>
      <x:c r="J63" s="36"/>
      <x:c r="K63" s="36"/>
      <x:c r="L63" s="36"/>
      <x:c r="M63" s="36"/>
      <x:c r="N63" s="45"/>
      <x:c r="O63" s="48" t="str">
        <x:f>IF(B63="","",AVERAGE(IFERROR(VLOOKUP(D63,'Справочники'!$A$5:$B$14,2,FALSE),0),IFERROR(VLOOKUP(E63,'Справочники'!$D$5:$E$12,2,FALSE),0),IFERROR(VLOOKUP(F63,'Справочники'!$G$5:$H$12,2,FALSE),0),IFERROR(VLOOKUP(G63,'Справочники'!$J$5:$K$12,2,FALSE),0)))</x:f>
      </x:c>
      <x:c r="P63" s="36"/>
    </x:row>
    <x:row r="64" ht="44" customHeight="1">
      <x:c r="A64" s="39"/>
      <x:c r="B64" s="36"/>
      <x:c r="C64" s="36"/>
      <x:c r="D64" s="42"/>
      <x:c r="E64" s="42"/>
      <x:c r="F64" s="42"/>
      <x:c r="G64" s="42"/>
      <x:c r="H64" s="42"/>
      <x:c r="I64" s="42"/>
      <x:c r="J64" s="36"/>
      <x:c r="K64" s="36"/>
      <x:c r="L64" s="36"/>
      <x:c r="M64" s="36"/>
      <x:c r="N64" s="45"/>
      <x:c r="O64" s="48" t="str">
        <x:f>IF(B64="","",AVERAGE(IFERROR(VLOOKUP(D64,'Справочники'!$A$5:$B$14,2,FALSE),0),IFERROR(VLOOKUP(E64,'Справочники'!$D$5:$E$12,2,FALSE),0),IFERROR(VLOOKUP(F64,'Справочники'!$G$5:$H$12,2,FALSE),0),IFERROR(VLOOKUP(G64,'Справочники'!$J$5:$K$12,2,FALSE),0)))</x:f>
      </x:c>
      <x:c r="P64" s="36"/>
    </x:row>
    <x:row r="65" ht="44" customHeight="1">
      <x:c r="A65" s="39"/>
      <x:c r="B65" s="36"/>
      <x:c r="C65" s="36"/>
      <x:c r="D65" s="42"/>
      <x:c r="E65" s="42"/>
      <x:c r="F65" s="42"/>
      <x:c r="G65" s="42"/>
      <x:c r="H65" s="42"/>
      <x:c r="I65" s="42"/>
      <x:c r="J65" s="36"/>
      <x:c r="K65" s="36"/>
      <x:c r="L65" s="36"/>
      <x:c r="M65" s="36"/>
      <x:c r="N65" s="45"/>
      <x:c r="O65" s="48" t="str">
        <x:f>IF(B65="","",AVERAGE(IFERROR(VLOOKUP(D65,'Справочники'!$A$5:$B$14,2,FALSE),0),IFERROR(VLOOKUP(E65,'Справочники'!$D$5:$E$12,2,FALSE),0),IFERROR(VLOOKUP(F65,'Справочники'!$G$5:$H$12,2,FALSE),0),IFERROR(VLOOKUP(G65,'Справочники'!$J$5:$K$12,2,FALSE),0)))</x:f>
      </x:c>
      <x:c r="P65" s="36"/>
    </x:row>
    <x:row r="66" ht="44" customHeight="1">
      <x:c r="A66" s="39"/>
      <x:c r="B66" s="36"/>
      <x:c r="C66" s="36"/>
      <x:c r="D66" s="42"/>
      <x:c r="E66" s="42"/>
      <x:c r="F66" s="42"/>
      <x:c r="G66" s="42"/>
      <x:c r="H66" s="42"/>
      <x:c r="I66" s="42"/>
      <x:c r="J66" s="36"/>
      <x:c r="K66" s="36"/>
      <x:c r="L66" s="36"/>
      <x:c r="M66" s="36"/>
      <x:c r="N66" s="45"/>
      <x:c r="O66" s="48" t="str">
        <x:f>IF(B66="","",AVERAGE(IFERROR(VLOOKUP(D66,'Справочники'!$A$5:$B$14,2,FALSE),0),IFERROR(VLOOKUP(E66,'Справочники'!$D$5:$E$12,2,FALSE),0),IFERROR(VLOOKUP(F66,'Справочники'!$G$5:$H$12,2,FALSE),0),IFERROR(VLOOKUP(G66,'Справочники'!$J$5:$K$12,2,FALSE),0)))</x:f>
      </x:c>
      <x:c r="P66" s="36"/>
    </x:row>
    <x:row r="67" ht="44" customHeight="1">
      <x:c r="A67" s="39"/>
      <x:c r="B67" s="36"/>
      <x:c r="C67" s="36"/>
      <x:c r="D67" s="42"/>
      <x:c r="E67" s="42"/>
      <x:c r="F67" s="42"/>
      <x:c r="G67" s="42"/>
      <x:c r="H67" s="42"/>
      <x:c r="I67" s="42"/>
      <x:c r="J67" s="36"/>
      <x:c r="K67" s="36"/>
      <x:c r="L67" s="36"/>
      <x:c r="M67" s="36"/>
      <x:c r="N67" s="45"/>
      <x:c r="O67" s="48" t="str">
        <x:f>IF(B67="","",AVERAGE(IFERROR(VLOOKUP(D67,'Справочники'!$A$5:$B$14,2,FALSE),0),IFERROR(VLOOKUP(E67,'Справочники'!$D$5:$E$12,2,FALSE),0),IFERROR(VLOOKUP(F67,'Справочники'!$G$5:$H$12,2,FALSE),0),IFERROR(VLOOKUP(G67,'Справочники'!$J$5:$K$12,2,FALSE),0)))</x:f>
      </x:c>
      <x:c r="P67" s="36"/>
    </x:row>
    <x:row r="68" ht="44" customHeight="1">
      <x:c r="A68" s="39"/>
      <x:c r="B68" s="36"/>
      <x:c r="C68" s="36"/>
      <x:c r="D68" s="42"/>
      <x:c r="E68" s="42"/>
      <x:c r="F68" s="42"/>
      <x:c r="G68" s="42"/>
      <x:c r="H68" s="42"/>
      <x:c r="I68" s="42"/>
      <x:c r="J68" s="36"/>
      <x:c r="K68" s="36"/>
      <x:c r="L68" s="36"/>
      <x:c r="M68" s="36"/>
      <x:c r="N68" s="45"/>
      <x:c r="O68" s="48" t="str">
        <x:f>IF(B68="","",AVERAGE(IFERROR(VLOOKUP(D68,'Справочники'!$A$5:$B$14,2,FALSE),0),IFERROR(VLOOKUP(E68,'Справочники'!$D$5:$E$12,2,FALSE),0),IFERROR(VLOOKUP(F68,'Справочники'!$G$5:$H$12,2,FALSE),0),IFERROR(VLOOKUP(G68,'Справочники'!$J$5:$K$12,2,FALSE),0)))</x:f>
      </x:c>
      <x:c r="P68" s="36"/>
    </x:row>
    <x:row r="69" ht="44" customHeight="1">
      <x:c r="A69" s="39"/>
      <x:c r="B69" s="36"/>
      <x:c r="C69" s="36"/>
      <x:c r="D69" s="42"/>
      <x:c r="E69" s="42"/>
      <x:c r="F69" s="42"/>
      <x:c r="G69" s="42"/>
      <x:c r="H69" s="42"/>
      <x:c r="I69" s="42"/>
      <x:c r="J69" s="36"/>
      <x:c r="K69" s="36"/>
      <x:c r="L69" s="36"/>
      <x:c r="M69" s="36"/>
      <x:c r="N69" s="45"/>
      <x:c r="O69" s="48" t="str">
        <x:f>IF(B69="","",AVERAGE(IFERROR(VLOOKUP(D69,'Справочники'!$A$5:$B$14,2,FALSE),0),IFERROR(VLOOKUP(E69,'Справочники'!$D$5:$E$12,2,FALSE),0),IFERROR(VLOOKUP(F69,'Справочники'!$G$5:$H$12,2,FALSE),0),IFERROR(VLOOKUP(G69,'Справочники'!$J$5:$K$12,2,FALSE),0)))</x:f>
      </x:c>
      <x:c r="P69" s="36"/>
    </x:row>
    <x:row r="70" ht="44" customHeight="1">
      <x:c r="A70" s="39"/>
      <x:c r="B70" s="36"/>
      <x:c r="C70" s="36"/>
      <x:c r="D70" s="42"/>
      <x:c r="E70" s="42"/>
      <x:c r="F70" s="42"/>
      <x:c r="G70" s="42"/>
      <x:c r="H70" s="42"/>
      <x:c r="I70" s="42"/>
      <x:c r="J70" s="36"/>
      <x:c r="K70" s="36"/>
      <x:c r="L70" s="36"/>
      <x:c r="M70" s="36"/>
      <x:c r="N70" s="45"/>
      <x:c r="O70" s="48" t="str">
        <x:f>IF(B70="","",AVERAGE(IFERROR(VLOOKUP(D70,'Справочники'!$A$5:$B$14,2,FALSE),0),IFERROR(VLOOKUP(E70,'Справочники'!$D$5:$E$12,2,FALSE),0),IFERROR(VLOOKUP(F70,'Справочники'!$G$5:$H$12,2,FALSE),0),IFERROR(VLOOKUP(G70,'Справочники'!$J$5:$K$12,2,FALSE),0)))</x:f>
      </x:c>
      <x:c r="P70" s="36"/>
    </x:row>
    <x:row r="71" ht="44" customHeight="1">
      <x:c r="A71" s="39"/>
      <x:c r="B71" s="36"/>
      <x:c r="C71" s="36"/>
      <x:c r="D71" s="42"/>
      <x:c r="E71" s="42"/>
      <x:c r="F71" s="42"/>
      <x:c r="G71" s="42"/>
      <x:c r="H71" s="42"/>
      <x:c r="I71" s="42"/>
      <x:c r="J71" s="36"/>
      <x:c r="K71" s="36"/>
      <x:c r="L71" s="36"/>
      <x:c r="M71" s="36"/>
      <x:c r="N71" s="45"/>
      <x:c r="O71" s="48" t="str">
        <x:f>IF(B71="","",AVERAGE(IFERROR(VLOOKUP(D71,'Справочники'!$A$5:$B$14,2,FALSE),0),IFERROR(VLOOKUP(E71,'Справочники'!$D$5:$E$12,2,FALSE),0),IFERROR(VLOOKUP(F71,'Справочники'!$G$5:$H$12,2,FALSE),0),IFERROR(VLOOKUP(G71,'Справочники'!$J$5:$K$12,2,FALSE),0)))</x:f>
      </x:c>
      <x:c r="P71" s="36"/>
    </x:row>
    <x:row r="72" ht="44" customHeight="1">
      <x:c r="A72" s="39"/>
      <x:c r="B72" s="36"/>
      <x:c r="C72" s="36"/>
      <x:c r="D72" s="42"/>
      <x:c r="E72" s="42"/>
      <x:c r="F72" s="42"/>
      <x:c r="G72" s="42"/>
      <x:c r="H72" s="42"/>
      <x:c r="I72" s="42"/>
      <x:c r="J72" s="36"/>
      <x:c r="K72" s="36"/>
      <x:c r="L72" s="36"/>
      <x:c r="M72" s="36"/>
      <x:c r="N72" s="45"/>
      <x:c r="O72" s="48" t="str">
        <x:f>IF(B72="","",AVERAGE(IFERROR(VLOOKUP(D72,'Справочники'!$A$5:$B$14,2,FALSE),0),IFERROR(VLOOKUP(E72,'Справочники'!$D$5:$E$12,2,FALSE),0),IFERROR(VLOOKUP(F72,'Справочники'!$G$5:$H$12,2,FALSE),0),IFERROR(VLOOKUP(G72,'Справочники'!$J$5:$K$12,2,FALSE),0)))</x:f>
      </x:c>
      <x:c r="P72" s="36"/>
    </x:row>
    <x:row r="73" ht="44" customHeight="1">
      <x:c r="A73" s="39"/>
      <x:c r="B73" s="36"/>
      <x:c r="C73" s="36"/>
      <x:c r="D73" s="42"/>
      <x:c r="E73" s="42"/>
      <x:c r="F73" s="42"/>
      <x:c r="G73" s="42"/>
      <x:c r="H73" s="42"/>
      <x:c r="I73" s="42"/>
      <x:c r="J73" s="36"/>
      <x:c r="K73" s="36"/>
      <x:c r="L73" s="36"/>
      <x:c r="M73" s="36"/>
      <x:c r="N73" s="45"/>
      <x:c r="O73" s="48" t="str">
        <x:f>IF(B73="","",AVERAGE(IFERROR(VLOOKUP(D73,'Справочники'!$A$5:$B$14,2,FALSE),0),IFERROR(VLOOKUP(E73,'Справочники'!$D$5:$E$12,2,FALSE),0),IFERROR(VLOOKUP(F73,'Справочники'!$G$5:$H$12,2,FALSE),0),IFERROR(VLOOKUP(G73,'Справочники'!$J$5:$K$12,2,FALSE),0)))</x:f>
      </x:c>
      <x:c r="P73" s="36"/>
    </x:row>
    <x:row r="74" ht="44" customHeight="1">
      <x:c r="A74" s="39"/>
      <x:c r="B74" s="36"/>
      <x:c r="C74" s="36"/>
      <x:c r="D74" s="42"/>
      <x:c r="E74" s="42"/>
      <x:c r="F74" s="42"/>
      <x:c r="G74" s="42"/>
      <x:c r="H74" s="42"/>
      <x:c r="I74" s="42"/>
      <x:c r="J74" s="36"/>
      <x:c r="K74" s="36"/>
      <x:c r="L74" s="36"/>
      <x:c r="M74" s="36"/>
      <x:c r="N74" s="45"/>
      <x:c r="O74" s="48" t="str">
        <x:f>IF(B74="","",AVERAGE(IFERROR(VLOOKUP(D74,'Справочники'!$A$5:$B$14,2,FALSE),0),IFERROR(VLOOKUP(E74,'Справочники'!$D$5:$E$12,2,FALSE),0),IFERROR(VLOOKUP(F74,'Справочники'!$G$5:$H$12,2,FALSE),0),IFERROR(VLOOKUP(G74,'Справочники'!$J$5:$K$12,2,FALSE),0)))</x:f>
      </x:c>
      <x:c r="P74" s="36"/>
    </x:row>
    <x:row r="75" ht="44" customHeight="1">
      <x:c r="A75" s="40"/>
      <x:c r="B75" s="37"/>
      <x:c r="C75" s="37"/>
      <x:c r="D75" s="43"/>
      <x:c r="E75" s="43"/>
      <x:c r="F75" s="43"/>
      <x:c r="G75" s="43"/>
      <x:c r="H75" s="43"/>
      <x:c r="I75" s="43"/>
      <x:c r="J75" s="37"/>
      <x:c r="K75" s="37"/>
      <x:c r="L75" s="37"/>
      <x:c r="M75" s="37"/>
      <x:c r="N75" s="46"/>
      <x:c r="O75" s="49" t="str">
        <x:f>IF(B75="","",AVERAGE(IFERROR(VLOOKUP(D75,'Справочники'!$A$5:$B$14,2,FALSE),0),IFERROR(VLOOKUP(E75,'Справочники'!$D$5:$E$12,2,FALSE),0),IFERROR(VLOOKUP(F75,'Справочники'!$G$5:$H$12,2,FALSE),0),IFERROR(VLOOKUP(G75,'Справочники'!$J$5:$K$12,2,FALSE),0)))</x:f>
      </x:c>
      <x:c r="P75" s="37"/>
    </x:row>
  </x:sheetData>
  <x:mergeCells>
    <x:mergeCell ref="A1:P1"/>
    <x:mergeCell ref="A2:P2"/>
    <x:mergeCell ref="A3:B3"/>
    <x:mergeCell ref="C3:D3"/>
    <x:mergeCell ref="E3:F3"/>
    <x:mergeCell ref="G3:H3"/>
    <x:mergeCell ref="I3:J3"/>
    <x:mergeCell ref="K3:L3"/>
    <x:mergeCell ref="M3:N3"/>
    <x:mergeCell ref="O3:P3"/>
  </x:mergeCells>
  <x:conditionalFormatting sqref="D6:D75">
    <x:cfRule type="containsText" dxfId="216" priority="1" operator="containsText" text="Готово local/mock"/>
    <x:cfRule type="expression" dxfId="217" priority="2">
      <x:formula>$D6="Готово"</x:formula>
    </x:cfRule>
    <x:cfRule type="containsText" dxfId="218" priority="3" operator="containsText" text="Review"/>
    <x:cfRule type="containsText" dxfId="219" priority="4" operator="containsText" text="Draft"/>
    <x:cfRule type="containsText" dxfId="220" priority="5" operator="containsText" text="Отсутствует"/>
    <x:cfRule type="containsText" dxfId="221" priority="6" operator="containsText" text="В работе"/>
  </x:conditionalFormatting>
  <x:conditionalFormatting sqref="E6:E75">
    <x:cfRule type="containsText" dxfId="222" priority="7" operator="containsText" text="Accepted"/>
    <x:cfRule type="containsText" dxfId="223" priority="8" operator="containsText" text="Canonical"/>
    <x:cfRule type="containsText" dxfId="224" priority="9" operator="containsText" text="Approved"/>
    <x:cfRule type="containsText" dxfId="225" priority="10" operator="containsText" text="Review"/>
    <x:cfRule type="containsText" dxfId="226" priority="11" operator="containsText" text="Draft"/>
    <x:cfRule type="containsText" dxfId="227" priority="12" operator="containsText" text="Отсутствует"/>
  </x:conditionalFormatting>
  <x:conditionalFormatting sqref="F6:F75">
    <x:cfRule type="expression" dxfId="228" priority="13">
      <x:formula>$F6="Production"</x:formula>
    </x:cfRule>
    <x:cfRule type="expression" dxfId="229" priority="14">
      <x:formula>$F6="Local/mock"</x:formula>
    </x:cfRule>
    <x:cfRule type="expression" dxfId="230" priority="15">
      <x:formula>$F6="Pure domain"</x:formula>
    </x:cfRule>
    <x:cfRule type="expression" dxfId="231" priority="16">
      <x:formula>$F6="Отсутствует"</x:formula>
    </x:cfRule>
    <x:cfRule type="expression" dxfId="232" priority="17">
      <x:formula>$F6="Gated"</x:formula>
    </x:cfRule>
  </x:conditionalFormatting>
  <x:conditionalFormatting sqref="G6:G75">
    <x:cfRule type="containsText" dxfId="233" priority="18" operator="containsText" text="Текущие зелёные"/>
    <x:cfRule type="containsText" dxfId="234" priority="19" operator="containsText" text="Исторические зелёные"/>
    <x:cfRule type="containsText" dxfId="235" priority="20" operator="containsText" text="Device pending"/>
    <x:cfRule type="containsText" dxfId="236" priority="21" operator="containsText" text="Не запускались"/>
  </x:conditionalFormatting>
  <x:conditionalFormatting sqref="I6:I75">
    <x:cfRule type="containsText" dxfId="237" priority="22" operator="containsText" text="P0"/>
    <x:cfRule type="containsText" dxfId="238" priority="23" operator="containsText" text="P1"/>
    <x:cfRule type="containsText" dxfId="239" priority="24" operator="containsText" text="P2"/>
  </x:conditionalFormatting>
  <x:conditionalFormatting sqref="O6:O75">
    <x:cfRule type="dataBar" priority="25">
      <x:dataBar>
        <x:cfvo type="min"/>
        <x:cfvo type="max"/>
        <x:color rgb="FF2F6B5C"/>
      </x:dataBar>
      <x:extLst>
        <x:ext xmlns:x14="http://schemas.microsoft.com/office/spreadsheetml/2009/9/main" uri="{B025F937-C7B1-47D3-B67F-A62EFF666E3E}">
          <x14:id>{56A40D4A-B737-F04C-4B04-CB1F5FD3E714}</x14:id>
        </x:ext>
      </x:extLst>
    </x:cfRule>
  </x:conditionalFormatting>
  <x:dataValidations count="5">
    <x:dataValidation type="list" sqref="D6:D75">
      <x:formula1>'Справочники'!$A$5:$A$14</x:formula1>
    </x:dataValidation>
    <x:dataValidation type="list" sqref="E6:E75">
      <x:formula1>'Справочники'!$D$5:$D$12</x:formula1>
    </x:dataValidation>
    <x:dataValidation type="list" sqref="F6:F75">
      <x:formula1>'Справочники'!$G$5:$G$12</x:formula1>
    </x:dataValidation>
    <x:dataValidation type="list" sqref="G6:G75">
      <x:formula1>'Справочники'!$J$5:$J$12</x:formula1>
    </x:dataValidation>
    <x:dataValidation type="list" sqref="I6:I75">
      <x:formula1>'Справочники'!$M$5:$M$9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04169de2a6045a4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5" id="{56A40D4A-B737-F04C-4B04-CB1F5FD3E714}">
            <x14:dataBar gradient="1">
              <x14:cfvo type="min"/>
              <x14:cfvo type="max"/>
              <x14:fillColor rgb="FF2F6B5C"/>
            </x14:dataBar>
          </x14:cfRule>
          <xm:sqref>O6:O75</xm:sqref>
        </x14:conditionalFormatting>
      </x14:conditionalFormattings>
    </x:ext>
  </x:extLst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1" hidden="0" customWidth="1"/>
    <x:col min="3" max="3" width="20" hidden="0" customWidth="1"/>
    <x:col min="4" max="4" width="18" hidden="0" customWidth="1"/>
    <x:col min="5" max="5" width="20" hidden="0" customWidth="1"/>
    <x:col min="6" max="6" width="16" hidden="0" customWidth="1"/>
    <x:col min="7" max="7" width="20" hidden="0" customWidth="1"/>
    <x:col min="8" max="8" width="25" hidden="0" customWidth="1"/>
    <x:col min="9" max="9" width="11" hidden="0" customWidth="1"/>
    <x:col min="10" max="10" width="40" hidden="0" customWidth="1"/>
    <x:col min="11" max="11" width="28" hidden="0" customWidth="1"/>
    <x:col min="12" max="12" width="20" hidden="0" customWidth="1"/>
    <x:col min="13" max="13" width="48" hidden="0" customWidth="1"/>
    <x:col min="14" max="14" width="14" hidden="0" customWidth="1"/>
    <x:col min="15" max="15" width="13" hidden="0" customWidth="1"/>
    <x:col min="16" max="16" width="34" hidden="0" customWidth="1"/>
  </x:cols>
  <x:sheetData>
    <x:row r="1" ht="38" customHeight="1">
      <x:c r="A1" s="3" t="str">
        <x:v>ARCHITECTURE &amp; ADR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2" customHeight="1">
      <x:c r="A2" s="7" t="str">
        <x:v>Governance layer · Accepted decisions, architecture baselines and enforced boundaries.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3">
      <x:c r="A3" s="12" t="e">
        <x:f>HYPERLINK("#'Паук'!A1","← Вернуться к пауку")</x:f>
        <x:v>HYPERLINK is not implemented. linkLocation=#'Паук'!A1, friendlyName=← Вернуться к пауку</x:v>
      </x:c>
      <x:c r="B3" s="12"/>
      <x:c r="C3" t="str">
        <x:v>Прогресс</x:v>
      </x:c>
      <x:c r="E3" s="15" t="n">
        <x:f>IFERROR(SUM(O6:O75)/COUNTA(B6:B75),0)</x:f>
        <x:v>0.8907894736842106</x:v>
      </x:c>
      <x:c r="F3" s="15"/>
      <x:c r="G3" t="str">
        <x:v>Открытые P0/P1</x:v>
      </x:c>
      <x:c r="I3" s="18" t="n">
        <x:f>COUNTIFS(I6:I75,"P0",O6:O75,"&lt;1")+COUNTIFS(I6:I75,"P1",O6:O75,"&lt;1")</x:f>
        <x:v>9</x:v>
      </x:c>
      <x:c r="J3" s="18"/>
      <x:c r="K3" t="str">
        <x:v>Runtime отсутствует</x:v>
      </x:c>
      <x:c r="M3" s="21" t="n">
        <x:f>COUNTIF(F6:F75,"Отсутствует")</x:f>
        <x:v>1</x:v>
      </x:c>
      <x:c r="N3" s="21"/>
      <x:c r="O3" s="24" t="e">
        <x:f>HYPERLINK("#'Реестр файлов'!A1","Реестр файлов →")</x:f>
        <x:v>HYPERLINK is not implemented. linkLocation=#'Реестр файлов'!A1, friendlyName=Реестр файлов →</x:v>
      </x:c>
      <x:c r="P3" s="24"/>
    </x:row>
    <x:row r="5">
      <x:c r="A5" s="27" t="str">
        <x:v>ID</x:v>
      </x:c>
      <x:c r="B5" s="27" t="str">
        <x:v>Подсистема / deliverable</x:v>
      </x:c>
      <x:c r="C5" s="27" t="str">
        <x:v>Тип</x:v>
      </x:c>
      <x:c r="D5" s="27" t="str">
        <x:v>Артефакт</x:v>
      </x:c>
      <x:c r="E5" s="27" t="str">
        <x:v>Документация</x:v>
      </x:c>
      <x:c r="F5" s="27" t="str">
        <x:v>Runtime</x:v>
      </x:c>
      <x:c r="G5" s="27" t="str">
        <x:v>Проверки</x:v>
      </x:c>
      <x:c r="H5" s="27" t="str">
        <x:v>Gate / authority</x:v>
      </x:c>
      <x:c r="I5" s="27" t="str">
        <x:v>Приоритет</x:v>
      </x:c>
      <x:c r="J5" s="27" t="str">
        <x:v>Следующее действие</x:v>
      </x:c>
      <x:c r="K5" s="27" t="str">
        <x:v>Блокер</x:v>
      </x:c>
      <x:c r="L5" s="27" t="str">
        <x:v>Owner</x:v>
      </x:c>
      <x:c r="M5" s="27" t="str">
        <x:v>Источник / путь</x:v>
      </x:c>
      <x:c r="N5" s="27" t="str">
        <x:v>Обновлено</x:v>
      </x:c>
      <x:c r="O5" s="27" t="str">
        <x:v>Готовность</x:v>
      </x:c>
      <x:c r="P5" s="27" t="str">
        <x:v>Комментарий</x:v>
      </x:c>
    </x:row>
    <x:row r="6" ht="44" customHeight="1">
      <x:c r="A6" s="38" t="str">
        <x:v>ADR-0011</x:v>
      </x:c>
      <x:c r="B6" s="35" t="str">
        <x:v>Architecture freeze</x:v>
      </x:c>
      <x:c r="C6" s="35" t="str">
        <x:v>Accepted ADR</x:v>
      </x:c>
      <x:c r="D6" s="41" t="str">
        <x:v>Готово</x:v>
      </x:c>
      <x:c r="E6" s="41" t="str">
        <x:v>Accepted</x:v>
      </x:c>
      <x:c r="F6" s="41" t="str">
        <x:v>Не требуется</x:v>
      </x:c>
      <x:c r="G6" s="41" t="str">
        <x:v>Текущие зелёные</x:v>
      </x:c>
      <x:c r="H6" s="41" t="str">
        <x:v>Normative</x:v>
      </x:c>
      <x:c r="I6" s="41" t="str">
        <x:v>P0</x:v>
      </x:c>
      <x:c r="J6" s="35" t="str">
        <x:v>Не менять старый ADR; supersede новым</x:v>
      </x:c>
      <x:c r="K6" s="35" t="str"/>
      <x:c r="L6" s="35" t="str">
        <x:v>Architecture owner</x:v>
      </x:c>
      <x:c r="M6" s="35" t="str">
        <x:v>docs/adr/0011-architecture-freeze.md</x:v>
      </x:c>
      <x:c r="N6" s="44" t="n">
        <x:v>46250</x:v>
      </x:c>
      <x:c r="O6" s="47" t="n">
        <x:f>IF(B6="","",AVERAGE(IFERROR(VLOOKUP(D6,'Справочники'!$A$5:$B$14,2,FALSE),0),IFERROR(VLOOKUP(E6,'Справочники'!$D$5:$E$12,2,FALSE),0),IFERROR(VLOOKUP(F6,'Справочники'!$G$5:$H$12,2,FALSE),0),IFERROR(VLOOKUP(G6,'Справочники'!$J$5:$K$12,2,FALSE),0)))</x:f>
        <x:v>1</x:v>
      </x:c>
      <x:c r="P6" s="35" t="str"/>
    </x:row>
    <x:row r="7" ht="44" customHeight="1">
      <x:c r="A7" s="39" t="str">
        <x:v>ADR-0012</x:v>
      </x:c>
      <x:c r="B7" s="36" t="str">
        <x:v>Tech stack defaults</x:v>
      </x:c>
      <x:c r="C7" s="36" t="str">
        <x:v>Accepted ADR</x:v>
      </x:c>
      <x:c r="D7" s="42" t="str">
        <x:v>Готово</x:v>
      </x:c>
      <x:c r="E7" s="42" t="str">
        <x:v>Accepted</x:v>
      </x:c>
      <x:c r="F7" s="42" t="str">
        <x:v>Не требуется</x:v>
      </x:c>
      <x:c r="G7" s="42" t="str">
        <x:v>Текущие зелёные</x:v>
      </x:c>
      <x:c r="H7" s="42" t="str">
        <x:v>Normative</x:v>
      </x:c>
      <x:c r="I7" s="42" t="str">
        <x:v>P0</x:v>
      </x:c>
      <x:c r="J7" s="36" t="str">
        <x:v>Не менять старый ADR; supersede новым</x:v>
      </x:c>
      <x:c r="K7" s="36" t="str"/>
      <x:c r="L7" s="36" t="str">
        <x:v>Architecture owner</x:v>
      </x:c>
      <x:c r="M7" s="36" t="str">
        <x:v>docs/adr/0012-tech-stack-defaults.md</x:v>
      </x:c>
      <x:c r="N7" s="45" t="n">
        <x:v>46250</x:v>
      </x:c>
      <x:c r="O7" s="48" t="n">
        <x:f>IF(B7="","",AVERAGE(IFERROR(VLOOKUP(D7,'Справочники'!$A$5:$B$14,2,FALSE),0),IFERROR(VLOOKUP(E7,'Справочники'!$D$5:$E$12,2,FALSE),0),IFERROR(VLOOKUP(F7,'Справочники'!$G$5:$H$12,2,FALSE),0),IFERROR(VLOOKUP(G7,'Справочники'!$J$5:$K$12,2,FALSE),0)))</x:f>
        <x:v>1</x:v>
      </x:c>
      <x:c r="P7" s="36" t="str"/>
    </x:row>
    <x:row r="8" ht="44" customHeight="1">
      <x:c r="A8" s="39" t="str">
        <x:v>ADR-0013</x:v>
      </x:c>
      <x:c r="B8" s="36" t="str">
        <x:v>Domain policy baseline</x:v>
      </x:c>
      <x:c r="C8" s="36" t="str">
        <x:v>Accepted ADR</x:v>
      </x:c>
      <x:c r="D8" s="42" t="str">
        <x:v>Готово</x:v>
      </x:c>
      <x:c r="E8" s="42" t="str">
        <x:v>Accepted</x:v>
      </x:c>
      <x:c r="F8" s="42" t="str">
        <x:v>Не требуется</x:v>
      </x:c>
      <x:c r="G8" s="42" t="str">
        <x:v>Текущие зелёные</x:v>
      </x:c>
      <x:c r="H8" s="42" t="str">
        <x:v>Normative</x:v>
      </x:c>
      <x:c r="I8" s="42" t="str">
        <x:v>P0</x:v>
      </x:c>
      <x:c r="J8" s="36" t="str">
        <x:v>Не менять старый ADR; supersede новым</x:v>
      </x:c>
      <x:c r="K8" s="36" t="str"/>
      <x:c r="L8" s="36" t="str">
        <x:v>Architecture owner</x:v>
      </x:c>
      <x:c r="M8" s="36" t="str">
        <x:v>docs/adr/0013-domain-policy-baseline.md</x:v>
      </x:c>
      <x:c r="N8" s="45" t="n">
        <x:v>46250</x:v>
      </x:c>
      <x:c r="O8" s="48" t="n">
        <x:f>IF(B8="","",AVERAGE(IFERROR(VLOOKUP(D8,'Справочники'!$A$5:$B$14,2,FALSE),0),IFERROR(VLOOKUP(E8,'Справочники'!$D$5:$E$12,2,FALSE),0),IFERROR(VLOOKUP(F8,'Справочники'!$G$5:$H$12,2,FALSE),0),IFERROR(VLOOKUP(G8,'Справочники'!$J$5:$K$12,2,FALSE),0)))</x:f>
        <x:v>1</x:v>
      </x:c>
      <x:c r="P8" s="36" t="str"/>
    </x:row>
    <x:row r="9" ht="44" customHeight="1">
      <x:c r="A9" s="39" t="str">
        <x:v>ADR-0014</x:v>
      </x:c>
      <x:c r="B9" s="36" t="str">
        <x:v>Time-fit ranking</x:v>
      </x:c>
      <x:c r="C9" s="36" t="str">
        <x:v>Accepted ADR</x:v>
      </x:c>
      <x:c r="D9" s="42" t="str">
        <x:v>Готово</x:v>
      </x:c>
      <x:c r="E9" s="42" t="str">
        <x:v>Accepted</x:v>
      </x:c>
      <x:c r="F9" s="42" t="str">
        <x:v>Не требуется</x:v>
      </x:c>
      <x:c r="G9" s="42" t="str">
        <x:v>Текущие зелёные</x:v>
      </x:c>
      <x:c r="H9" s="42" t="str">
        <x:v>Normative</x:v>
      </x:c>
      <x:c r="I9" s="42" t="str">
        <x:v>P0</x:v>
      </x:c>
      <x:c r="J9" s="36" t="str">
        <x:v>Не менять старый ADR; supersede новым</x:v>
      </x:c>
      <x:c r="K9" s="36" t="str"/>
      <x:c r="L9" s="36" t="str">
        <x:v>Architecture owner</x:v>
      </x:c>
      <x:c r="M9" s="36" t="str">
        <x:v>docs/adr/0014-time-fit-ranking.md</x:v>
      </x:c>
      <x:c r="N9" s="45" t="n">
        <x:v>46250</x:v>
      </x:c>
      <x:c r="O9" s="48" t="n">
        <x:f>IF(B9="","",AVERAGE(IFERROR(VLOOKUP(D9,'Справочники'!$A$5:$B$14,2,FALSE),0),IFERROR(VLOOKUP(E9,'Справочники'!$D$5:$E$12,2,FALSE),0),IFERROR(VLOOKUP(F9,'Справочники'!$G$5:$H$12,2,FALSE),0),IFERROR(VLOOKUP(G9,'Справочники'!$J$5:$K$12,2,FALSE),0)))</x:f>
        <x:v>1</x:v>
      </x:c>
      <x:c r="P9" s="36" t="str"/>
    </x:row>
    <x:row r="10" ht="44" customHeight="1">
      <x:c r="A10" s="39" t="str">
        <x:v>ADR-0015</x:v>
      </x:c>
      <x:c r="B10" s="36" t="str">
        <x:v>Authenticated Viewer / verified Creator</x:v>
      </x:c>
      <x:c r="C10" s="36" t="str">
        <x:v>Accepted ADR</x:v>
      </x:c>
      <x:c r="D10" s="42" t="str">
        <x:v>Готово</x:v>
      </x:c>
      <x:c r="E10" s="42" t="str">
        <x:v>Accepted</x:v>
      </x:c>
      <x:c r="F10" s="42" t="str">
        <x:v>Не требуется</x:v>
      </x:c>
      <x:c r="G10" s="42" t="str">
        <x:v>Текущие зелёные</x:v>
      </x:c>
      <x:c r="H10" s="42" t="str">
        <x:v>Normative</x:v>
      </x:c>
      <x:c r="I10" s="42" t="str">
        <x:v>P0</x:v>
      </x:c>
      <x:c r="J10" s="36" t="str">
        <x:v>Не менять старый ADR; supersede новым</x:v>
      </x:c>
      <x:c r="K10" s="36" t="str"/>
      <x:c r="L10" s="36" t="str">
        <x:v>Architecture owner</x:v>
      </x:c>
      <x:c r="M10" s="36" t="str">
        <x:v>docs/adr/0015-authenticated-viewer-verified-creator-professional-page.md</x:v>
      </x:c>
      <x:c r="N10" s="45" t="n">
        <x:v>46250</x:v>
      </x:c>
      <x:c r="O10" s="48" t="n">
        <x:f>IF(B10="","",AVERAGE(IFERROR(VLOOKUP(D10,'Справочники'!$A$5:$B$14,2,FALSE),0),IFERROR(VLOOKUP(E10,'Справочники'!$D$5:$E$12,2,FALSE),0),IFERROR(VLOOKUP(F10,'Справочники'!$G$5:$H$12,2,FALSE),0),IFERROR(VLOOKUP(G10,'Справочники'!$J$5:$K$12,2,FALSE),0)))</x:f>
        <x:v>1</x:v>
      </x:c>
      <x:c r="P10" s="36" t="str"/>
    </x:row>
    <x:row r="11" ht="44" customHeight="1">
      <x:c r="A11" s="39" t="str">
        <x:v>ADR-0016</x:v>
      </x:c>
      <x:c r="B11" s="36" t="str">
        <x:v>Bounded identity workspace</x:v>
      </x:c>
      <x:c r="C11" s="36" t="str">
        <x:v>Accepted ADR</x:v>
      </x:c>
      <x:c r="D11" s="42" t="str">
        <x:v>Готово</x:v>
      </x:c>
      <x:c r="E11" s="42" t="str">
        <x:v>Accepted</x:v>
      </x:c>
      <x:c r="F11" s="42" t="str">
        <x:v>Не требуется</x:v>
      </x:c>
      <x:c r="G11" s="42" t="str">
        <x:v>Текущие зелёные</x:v>
      </x:c>
      <x:c r="H11" s="42" t="str">
        <x:v>Normative</x:v>
      </x:c>
      <x:c r="I11" s="42" t="str">
        <x:v>P0</x:v>
      </x:c>
      <x:c r="J11" s="36" t="str">
        <x:v>Не менять старый ADR; supersede новым</x:v>
      </x:c>
      <x:c r="K11" s="36" t="str"/>
      <x:c r="L11" s="36" t="str">
        <x:v>Architecture owner</x:v>
      </x:c>
      <x:c r="M11" s="36" t="str">
        <x:v>docs/adr/0016-bounded-identity-workspace-during-stabilization.md</x:v>
      </x:c>
      <x:c r="N11" s="45" t="n">
        <x:v>46250</x:v>
      </x:c>
      <x:c r="O11" s="48" t="n">
        <x:f>IF(B11="","",AVERAGE(IFERROR(VLOOKUP(D11,'Справочники'!$A$5:$B$14,2,FALSE),0),IFERROR(VLOOKUP(E11,'Справочники'!$D$5:$E$12,2,FALSE),0),IFERROR(VLOOKUP(F11,'Справочники'!$G$5:$H$12,2,FALSE),0),IFERROR(VLOOKUP(G11,'Справочники'!$J$5:$K$12,2,FALSE),0)))</x:f>
        <x:v>1</x:v>
      </x:c>
      <x:c r="P11" s="36" t="str"/>
    </x:row>
    <x:row r="12" ht="44" customHeight="1">
      <x:c r="A12" s="39" t="str">
        <x:v>ADR-0017</x:v>
      </x:c>
      <x:c r="B12" s="36" t="str">
        <x:v>Admin preview / user-created pages</x:v>
      </x:c>
      <x:c r="C12" s="36" t="str">
        <x:v>Accepted ADR</x:v>
      </x:c>
      <x:c r="D12" s="42" t="str">
        <x:v>Готово</x:v>
      </x:c>
      <x:c r="E12" s="42" t="str">
        <x:v>Accepted</x:v>
      </x:c>
      <x:c r="F12" s="42" t="str">
        <x:v>Не требуется</x:v>
      </x:c>
      <x:c r="G12" s="42" t="str">
        <x:v>Текущие зелёные</x:v>
      </x:c>
      <x:c r="H12" s="42" t="str">
        <x:v>Normative</x:v>
      </x:c>
      <x:c r="I12" s="42" t="str">
        <x:v>P0</x:v>
      </x:c>
      <x:c r="J12" s="36" t="str">
        <x:v>Не менять старый ADR; supersede новым</x:v>
      </x:c>
      <x:c r="K12" s="36" t="str"/>
      <x:c r="L12" s="36" t="str">
        <x:v>Architecture owner</x:v>
      </x:c>
      <x:c r="M12" s="36" t="str">
        <x:v>docs/adr/0017-admin-experience-preview-and-user-created-pages.md</x:v>
      </x:c>
      <x:c r="N12" s="45" t="n">
        <x:v>46250</x:v>
      </x:c>
      <x:c r="O12" s="48" t="n">
        <x:f>IF(B12="","",AVERAGE(IFERROR(VLOOKUP(D12,'Справочники'!$A$5:$B$14,2,FALSE),0),IFERROR(VLOOKUP(E12,'Справочники'!$D$5:$E$12,2,FALSE),0),IFERROR(VLOOKUP(F12,'Справочники'!$G$5:$H$12,2,FALSE),0),IFERROR(VLOOKUP(G12,'Справочники'!$J$5:$K$12,2,FALSE),0)))</x:f>
        <x:v>1</x:v>
      </x:c>
      <x:c r="P12" s="36" t="str"/>
    </x:row>
    <x:row r="13" ht="44" customHeight="1">
      <x:c r="A13" s="39" t="str">
        <x:v>ADR-0018</x:v>
      </x:c>
      <x:c r="B13" s="36" t="str">
        <x:v>Provider-neutral AI</x:v>
      </x:c>
      <x:c r="C13" s="36" t="str">
        <x:v>Accepted ADR</x:v>
      </x:c>
      <x:c r="D13" s="42" t="str">
        <x:v>Готово</x:v>
      </x:c>
      <x:c r="E13" s="42" t="str">
        <x:v>Accepted</x:v>
      </x:c>
      <x:c r="F13" s="42" t="str">
        <x:v>Не требуется</x:v>
      </x:c>
      <x:c r="G13" s="42" t="str">
        <x:v>Текущие зелёные</x:v>
      </x:c>
      <x:c r="H13" s="42" t="str">
        <x:v>Normative</x:v>
      </x:c>
      <x:c r="I13" s="42" t="str">
        <x:v>P0</x:v>
      </x:c>
      <x:c r="J13" s="36" t="str">
        <x:v>Не менять старый ADR; supersede новым</x:v>
      </x:c>
      <x:c r="K13" s="36" t="str"/>
      <x:c r="L13" s="36" t="str">
        <x:v>Architecture owner</x:v>
      </x:c>
      <x:c r="M13" s="36" t="str">
        <x:v>docs/adr/0018-provider-neutral-ai-assistance-capability.md</x:v>
      </x:c>
      <x:c r="N13" s="45" t="n">
        <x:v>46250</x:v>
      </x:c>
      <x:c r="O13" s="48" t="n">
        <x:f>IF(B13="","",AVERAGE(IFERROR(VLOOKUP(D13,'Справочники'!$A$5:$B$14,2,FALSE),0),IFERROR(VLOOKUP(E13,'Справочники'!$D$5:$E$12,2,FALSE),0),IFERROR(VLOOKUP(F13,'Справочники'!$G$5:$H$12,2,FALSE),0),IFERROR(VLOOKUP(G13,'Справочники'!$J$5:$K$12,2,FALSE),0)))</x:f>
        <x:v>1</x:v>
      </x:c>
      <x:c r="P13" s="36" t="str"/>
    </x:row>
    <x:row r="14" ht="44" customHeight="1">
      <x:c r="A14" s="39" t="str">
        <x:v>ADR-0019</x:v>
      </x:c>
      <x:c r="B14" s="36" t="str">
        <x:v>Authoritative Booking ledger</x:v>
      </x:c>
      <x:c r="C14" s="36" t="str">
        <x:v>Accepted ADR</x:v>
      </x:c>
      <x:c r="D14" s="42" t="str">
        <x:v>Готово</x:v>
      </x:c>
      <x:c r="E14" s="42" t="str">
        <x:v>Accepted</x:v>
      </x:c>
      <x:c r="F14" s="42" t="str">
        <x:v>Не требуется</x:v>
      </x:c>
      <x:c r="G14" s="42" t="str">
        <x:v>Текущие зелёные</x:v>
      </x:c>
      <x:c r="H14" s="42" t="str">
        <x:v>Normative</x:v>
      </x:c>
      <x:c r="I14" s="42" t="str">
        <x:v>P0</x:v>
      </x:c>
      <x:c r="J14" s="36" t="str">
        <x:v>Не менять старый ADR; supersede новым</x:v>
      </x:c>
      <x:c r="K14" s="36" t="str"/>
      <x:c r="L14" s="36" t="str">
        <x:v>Architecture owner</x:v>
      </x:c>
      <x:c r="M14" s="36" t="str">
        <x:v>docs/adr/0019-authoritative-internal-booking-ledger.md</x:v>
      </x:c>
      <x:c r="N14" s="45" t="n">
        <x:v>46250</x:v>
      </x:c>
      <x:c r="O14" s="48" t="n">
        <x:f>IF(B14="","",AVERAGE(IFERROR(VLOOKUP(D14,'Справочники'!$A$5:$B$14,2,FALSE),0),IFERROR(VLOOKUP(E14,'Справочники'!$D$5:$E$12,2,FALSE),0),IFERROR(VLOOKUP(F14,'Справочники'!$G$5:$H$12,2,FALSE),0),IFERROR(VLOOKUP(G14,'Справочники'!$J$5:$K$12,2,FALSE),0)))</x:f>
        <x:v>1</x:v>
      </x:c>
      <x:c r="P14" s="36" t="str"/>
    </x:row>
    <x:row r="15" ht="44" customHeight="1">
      <x:c r="A15" s="39" t="str">
        <x:v>ARCH-01</x:v>
      </x:c>
      <x:c r="B15" s="36" t="str">
        <x:v>Architecture Baseline</x:v>
      </x:c>
      <x:c r="C15" s="36" t="str">
        <x:v>Canonical architecture</x:v>
      </x:c>
      <x:c r="D15" s="42" t="str">
        <x:v>Готово</x:v>
      </x:c>
      <x:c r="E15" s="42" t="str">
        <x:v>Approved</x:v>
      </x:c>
      <x:c r="F15" s="42" t="str">
        <x:v>Не требуется</x:v>
      </x:c>
      <x:c r="G15" s="42" t="str">
        <x:v>Исторические зелёные</x:v>
      </x:c>
      <x:c r="H15" s="42" t="str">
        <x:v>Priority below Accepted ADR</x:v>
      </x:c>
      <x:c r="I15" s="42" t="str">
        <x:v>P0</x:v>
      </x:c>
      <x:c r="J15" s="36" t="str">
        <x:v>Синхронизировать с фактическим кодом</x:v>
      </x:c>
      <x:c r="K15" s="36" t="str">
        <x:v>Dirty tree</x:v>
      </x:c>
      <x:c r="L15" s="36" t="str">
        <x:v>Architecture</x:v>
      </x:c>
      <x:c r="M15" s="36" t="str">
        <x:v>docs/architecture/ARCHITECTURE_BASELINE.md</x:v>
      </x:c>
      <x:c r="N15" s="45" t="n">
        <x:v>46250</x:v>
      </x:c>
      <x:c r="O15" s="48" t="n">
        <x:f>IF(B15="","",AVERAGE(IFERROR(VLOOKUP(D15,'Справочники'!$A$5:$B$14,2,FALSE),0),IFERROR(VLOOKUP(E15,'Справочники'!$D$5:$E$12,2,FALSE),0),IFERROR(VLOOKUP(F15,'Справочники'!$G$5:$H$12,2,FALSE),0),IFERROR(VLOOKUP(G15,'Справочники'!$J$5:$K$12,2,FALSE),0)))</x:f>
        <x:v>0.8999999999999999</x:v>
      </x:c>
      <x:c r="P15" s="36" t="str"/>
    </x:row>
    <x:row r="16" ht="44" customHeight="1">
      <x:c r="A16" s="39" t="str">
        <x:v>ARCH-02</x:v>
      </x:c>
      <x:c r="B16" s="36" t="str">
        <x:v>Recharge Architecture</x:v>
      </x:c>
      <x:c r="C16" s="36" t="str">
        <x:v>Architecture overview</x:v>
      </x:c>
      <x:c r="D16" s="42" t="str">
        <x:v>Готово</x:v>
      </x:c>
      <x:c r="E16" s="42" t="str">
        <x:v>Approved</x:v>
      </x:c>
      <x:c r="F16" s="42" t="str">
        <x:v>Не требуется</x:v>
      </x:c>
      <x:c r="G16" s="42" t="str">
        <x:v>Исторические зелёные</x:v>
      </x:c>
      <x:c r="H16" s="42" t="str">
        <x:v>Architecture docs</x:v>
      </x:c>
      <x:c r="I16" s="42" t="str">
        <x:v>P1</x:v>
      </x:c>
      <x:c r="J16" s="36" t="str">
        <x:v>Сверять с BCK-01</x:v>
      </x:c>
      <x:c r="K16" s="36" t="str">
        <x:v>Backend draft</x:v>
      </x:c>
      <x:c r="L16" s="36" t="str">
        <x:v>Architecture</x:v>
      </x:c>
      <x:c r="M16" s="36" t="str">
        <x:v>docs/architecture/RECHARGE_ARCHITECTURE.md</x:v>
      </x:c>
      <x:c r="N16" s="45" t="n">
        <x:v>46250</x:v>
      </x:c>
      <x:c r="O16" s="48" t="n">
        <x:f>IF(B16="","",AVERAGE(IFERROR(VLOOKUP(D16,'Справочники'!$A$5:$B$14,2,FALSE),0),IFERROR(VLOOKUP(E16,'Справочники'!$D$5:$E$12,2,FALSE),0),IFERROR(VLOOKUP(F16,'Справочники'!$G$5:$H$12,2,FALSE),0),IFERROR(VLOOKUP(G16,'Справочники'!$J$5:$K$12,2,FALSE),0)))</x:f>
        <x:v>0.8999999999999999</x:v>
      </x:c>
      <x:c r="P16" s="36" t="str"/>
    </x:row>
    <x:row r="17" ht="44" customHeight="1">
      <x:c r="A17" s="39" t="str">
        <x:v>ARCH-03</x:v>
      </x:c>
      <x:c r="B17" s="36" t="str">
        <x:v>Platform Foundation</x:v>
      </x:c>
      <x:c r="C17" s="36" t="str">
        <x:v>Platform spec</x:v>
      </x:c>
      <x:c r="D17" s="42" t="str">
        <x:v>Готово</x:v>
      </x:c>
      <x:c r="E17" s="42" t="str">
        <x:v>Approved</x:v>
      </x:c>
      <x:c r="F17" s="42" t="str">
        <x:v>Не требуется</x:v>
      </x:c>
      <x:c r="G17" s="42" t="str">
        <x:v>Частично</x:v>
      </x:c>
      <x:c r="H17" s="42" t="str">
        <x:v>Device/platform gates</x:v>
      </x:c>
      <x:c r="I17" s="42" t="str">
        <x:v>P0</x:v>
      </x:c>
      <x:c r="J17" s="36" t="str">
        <x:v>Закрыть реальные device checks</x:v>
      </x:c>
      <x:c r="K17" s="36" t="str">
        <x:v>Device QA</x:v>
      </x:c>
      <x:c r="L17" s="36" t="str">
        <x:v>Platform</x:v>
      </x:c>
      <x:c r="M17" s="36" t="str">
        <x:v>docs/architecture/PLATFORM_FOUNDATION_SPEC.md</x:v>
      </x:c>
      <x:c r="N17" s="45" t="n">
        <x:v>46250</x:v>
      </x:c>
      <x:c r="O17" s="48" t="n">
        <x:f>IF(B17="","",AVERAGE(IFERROR(VLOOKUP(D17,'Справочники'!$A$5:$B$14,2,FALSE),0),IFERROR(VLOOKUP(E17,'Справочники'!$D$5:$E$12,2,FALSE),0),IFERROR(VLOOKUP(F17,'Справочники'!$G$5:$H$12,2,FALSE),0),IFERROR(VLOOKUP(G17,'Справочники'!$J$5:$K$12,2,FALSE),0)))</x:f>
        <x:v>0.825</x:v>
      </x:c>
      <x:c r="P17" s="36" t="str"/>
    </x:row>
    <x:row r="18" ht="44" customHeight="1">
      <x:c r="A18" s="39" t="str">
        <x:v>ARCH-04</x:v>
      </x:c>
      <x:c r="B18" s="36" t="str">
        <x:v>Firebase target architecture</x:v>
      </x:c>
      <x:c r="C18" s="36" t="str">
        <x:v>Target architecture</x:v>
      </x:c>
      <x:c r="D18" s="42" t="str">
        <x:v>Готово</x:v>
      </x:c>
      <x:c r="E18" s="42" t="str">
        <x:v>Approved</x:v>
      </x:c>
      <x:c r="F18" s="42" t="str">
        <x:v>Отсутствует</x:v>
      </x:c>
      <x:c r="G18" s="42" t="str">
        <x:v>Не запускались</x:v>
      </x:c>
      <x:c r="H18" s="42" t="str">
        <x:v>Post-stabilization</x:v>
      </x:c>
      <x:c r="I18" s="42" t="str">
        <x:v>P1</x:v>
      </x:c>
      <x:c r="J18" s="36" t="str">
        <x:v>Не путать target с runtime</x:v>
      </x:c>
      <x:c r="K18" s="36" t="str">
        <x:v>Firebase absent</x:v>
      </x:c>
      <x:c r="L18" s="36" t="str">
        <x:v>Platform</x:v>
      </x:c>
      <x:c r="M18" s="36" t="str">
        <x:v>docs/architecture/FIREBASE_ARCHITECTURE.md</x:v>
      </x:c>
      <x:c r="N18" s="45" t="n">
        <x:v>46250</x:v>
      </x:c>
      <x:c r="O18" s="48" t="n">
        <x:f>IF(B18="","",AVERAGE(IFERROR(VLOOKUP(D18,'Справочники'!$A$5:$B$14,2,FALSE),0),IFERROR(VLOOKUP(E18,'Справочники'!$D$5:$E$12,2,FALSE),0),IFERROR(VLOOKUP(F18,'Справочники'!$G$5:$H$12,2,FALSE),0),IFERROR(VLOOKUP(G18,'Справочники'!$J$5:$K$12,2,FALSE),0)))</x:f>
        <x:v>0.475</x:v>
      </x:c>
      <x:c r="P18" s="36" t="str"/>
    </x:row>
    <x:row r="19" ht="44" customHeight="1">
      <x:c r="A19" s="39" t="str">
        <x:v>ARCH-05</x:v>
      </x:c>
      <x:c r="B19" s="36" t="str">
        <x:v>Import boundaries</x:v>
      </x:c>
      <x:c r="C19" s="36" t="str">
        <x:v>Architecture guard</x:v>
      </x:c>
      <x:c r="D19" s="42" t="str">
        <x:v>Готово</x:v>
      </x:c>
      <x:c r="E19" s="42" t="str">
        <x:v>Approved</x:v>
      </x:c>
      <x:c r="F19" s="42" t="str">
        <x:v>Local/mock</x:v>
      </x:c>
      <x:c r="G19" s="42" t="str">
        <x:v>Исторические зелёные</x:v>
      </x:c>
      <x:c r="H19" s="42" t="str">
        <x:v>Blocking CI</x:v>
      </x:c>
      <x:c r="I19" s="42" t="str">
        <x:v>P0</x:v>
      </x:c>
      <x:c r="J19" s="36" t="str">
        <x:v>Не увеличивать allowlist</x:v>
      </x:c>
      <x:c r="K19" s="36" t="str">
        <x:v>59 legacy suppressions</x:v>
      </x:c>
      <x:c r="L19" s="36" t="str">
        <x:v>Architecture</x:v>
      </x:c>
      <x:c r="M19" s="36" t="str">
        <x:v>docs/architecture/IMPORT_BOUNDARIES.md</x:v>
      </x:c>
      <x:c r="N19" s="45" t="n">
        <x:v>46250</x:v>
      </x:c>
      <x:c r="O19" s="48" t="n">
        <x:f>IF(B19="","",AVERAGE(IFERROR(VLOOKUP(D19,'Справочники'!$A$5:$B$14,2,FALSE),0),IFERROR(VLOOKUP(E19,'Справочники'!$D$5:$E$12,2,FALSE),0),IFERROR(VLOOKUP(F19,'Справочники'!$G$5:$H$12,2,FALSE),0),IFERROR(VLOOKUP(G19,'Справочники'!$J$5:$K$12,2,FALSE),0)))</x:f>
        <x:v>0.7875000000000001</x:v>
      </x:c>
      <x:c r="P19" s="36" t="str"/>
    </x:row>
    <x:row r="20" ht="44" customHeight="1">
      <x:c r="A20" s="39" t="str">
        <x:v>ARCH-06</x:v>
      </x:c>
      <x:c r="B20" s="36" t="str">
        <x:v>UI / Design System governance</x:v>
      </x:c>
      <x:c r="C20" s="36" t="str">
        <x:v>Architecture guard</x:v>
      </x:c>
      <x:c r="D20" s="42" t="str">
        <x:v>Готово</x:v>
      </x:c>
      <x:c r="E20" s="42" t="str">
        <x:v>Approved</x:v>
      </x:c>
      <x:c r="F20" s="42" t="str">
        <x:v>Local/mock</x:v>
      </x:c>
      <x:c r="G20" s="42" t="str">
        <x:v>Исторические зелёные</x:v>
      </x:c>
      <x:c r="H20" s="42" t="str">
        <x:v>Design system</x:v>
      </x:c>
      <x:c r="I20" s="42" t="str">
        <x:v>P1</x:v>
      </x:c>
      <x:c r="J20" s="36" t="str">
        <x:v>Shared UI only in design_system</x:v>
      </x:c>
      <x:c r="K20" s="36" t="str"/>
      <x:c r="L20" s="36" t="str">
        <x:v>Design System</x:v>
      </x:c>
      <x:c r="M20" s="36" t="str">
        <x:v>docs/architecture/UI_BASELINE_DESIGN_SYSTEM.md</x:v>
      </x:c>
      <x:c r="N20" s="45" t="n">
        <x:v>46250</x:v>
      </x:c>
      <x:c r="O20" s="48" t="n">
        <x:f>IF(B20="","",AVERAGE(IFERROR(VLOOKUP(D20,'Справочники'!$A$5:$B$14,2,FALSE),0),IFERROR(VLOOKUP(E20,'Справочники'!$D$5:$E$12,2,FALSE),0),IFERROR(VLOOKUP(F20,'Справочники'!$G$5:$H$12,2,FALSE),0),IFERROR(VLOOKUP(G20,'Справочники'!$J$5:$K$12,2,FALSE),0)))</x:f>
        <x:v>0.7875000000000001</x:v>
      </x:c>
      <x:c r="P20" s="36" t="str"/>
    </x:row>
    <x:row r="21" ht="44" customHeight="1">
      <x:c r="A21" s="39" t="str">
        <x:v>ARCH-07</x:v>
      </x:c>
      <x:c r="B21" s="36" t="str">
        <x:v>Repo governance / change policy</x:v>
      </x:c>
      <x:c r="C21" s="36" t="str">
        <x:v>Process</x:v>
      </x:c>
      <x:c r="D21" s="42" t="str">
        <x:v>Готово</x:v>
      </x:c>
      <x:c r="E21" s="42" t="str">
        <x:v>Approved</x:v>
      </x:c>
      <x:c r="F21" s="42" t="str">
        <x:v>Не требуется</x:v>
      </x:c>
      <x:c r="G21" s="42" t="str">
        <x:v>Исторические зелёные</x:v>
      </x:c>
      <x:c r="H21" s="42" t="str">
        <x:v>Merge governance</x:v>
      </x:c>
      <x:c r="I21" s="42" t="str">
        <x:v>P1</x:v>
      </x:c>
      <x:c r="J21" s="36" t="str">
        <x:v>Сохранять narrow slices</x:v>
      </x:c>
      <x:c r="K21" s="36" t="str">
        <x:v>Dirty working tree</x:v>
      </x:c>
      <x:c r="L21" s="36" t="str">
        <x:v>Repository owner</x:v>
      </x:c>
      <x:c r="M21" s="36" t="str">
        <x:v>docs/architecture/REPO_GOVERNANCE.md</x:v>
      </x:c>
      <x:c r="N21" s="45" t="n">
        <x:v>46250</x:v>
      </x:c>
      <x:c r="O21" s="48" t="n">
        <x:f>IF(B21="","",AVERAGE(IFERROR(VLOOKUP(D21,'Справочники'!$A$5:$B$14,2,FALSE),0),IFERROR(VLOOKUP(E21,'Справочники'!$D$5:$E$12,2,FALSE),0),IFERROR(VLOOKUP(F21,'Справочники'!$G$5:$H$12,2,FALSE),0),IFERROR(VLOOKUP(G21,'Справочники'!$J$5:$K$12,2,FALSE),0)))</x:f>
        <x:v>0.8999999999999999</x:v>
      </x:c>
      <x:c r="P21" s="36" t="str"/>
    </x:row>
    <x:row r="22" ht="44" customHeight="1">
      <x:c r="A22" s="39" t="str">
        <x:v>ARCH-AUD-01</x:v>
      </x:c>
      <x:c r="B22" s="36" t="str">
        <x:v>LAUNCH_STATUS freshness</x:v>
      </x:c>
      <x:c r="C22" s="36" t="str">
        <x:v>Architecture audit</x:v>
      </x:c>
      <x:c r="D22" s="42" t="str">
        <x:v>Заблокировано</x:v>
      </x:c>
      <x:c r="E22" s="42" t="str">
        <x:v>Approved</x:v>
      </x:c>
      <x:c r="F22" s="42" t="str">
        <x:v>Не требуется</x:v>
      </x:c>
      <x:c r="G22" s="42" t="str">
        <x:v>Частично</x:v>
      </x:c>
      <x:c r="H22" s="42" t="str">
        <x:v>Status source hygiene</x:v>
      </x:c>
      <x:c r="I22" s="42" t="str">
        <x:v>P0</x:v>
      </x:c>
      <x:c r="J22" s="36" t="str">
        <x:v>Refresh header and reconcile slices through 2026-08-16</x:v>
      </x:c>
      <x:c r="K22" s="36" t="str">
        <x:v>Header says 2026-08-08</x:v>
      </x:c>
      <x:c r="L22" s="36" t="str">
        <x:v>Release / Architecture</x:v>
      </x:c>
      <x:c r="M22" s="36" t="str">
        <x:v>docs/architecture/LAUNCH_STATUS.md</x:v>
      </x:c>
      <x:c r="N22" s="45" t="n">
        <x:v>46250.5</x:v>
      </x:c>
      <x:c r="O22" s="48" t="n">
        <x:f>IF(B22="","",AVERAGE(IFERROR(VLOOKUP(D22,'Справочники'!$A$5:$B$14,2,FALSE),0),IFERROR(VLOOKUP(E22,'Справочники'!$D$5:$E$12,2,FALSE),0),IFERROR(VLOOKUP(F22,'Справочники'!$G$5:$H$12,2,FALSE),0),IFERROR(VLOOKUP(G22,'Справочники'!$J$5:$K$12,2,FALSE),0)))</x:f>
        <x:v>0.6124999999999999</x:v>
      </x:c>
      <x:c r="P22" s="36" t="str"/>
    </x:row>
    <x:row r="23" ht="44" customHeight="1">
      <x:c r="A23" s="39" t="str">
        <x:v>ARCH-AUD-02</x:v>
      </x:c>
      <x:c r="B23" s="36" t="str">
        <x:v>Current working tree</x:v>
      </x:c>
      <x:c r="C23" s="36" t="str">
        <x:v>Repository state</x:v>
      </x:c>
      <x:c r="D23" s="42" t="str">
        <x:v>В работе</x:v>
      </x:c>
      <x:c r="E23" s="42" t="str">
        <x:v>Не требуется</x:v>
      </x:c>
      <x:c r="F23" s="42" t="str">
        <x:v>Не требуется</x:v>
      </x:c>
      <x:c r="G23" s="42" t="str">
        <x:v>Частично</x:v>
      </x:c>
      <x:c r="H23" s="42" t="str">
        <x:v>Stabilization criterion 1</x:v>
      </x:c>
      <x:c r="I23" s="42" t="str">
        <x:v>P0</x:v>
      </x:c>
      <x:c r="J23" s="36" t="str">
        <x:v>Separate/commit meaningful slices and remove artifacts</x:v>
      </x:c>
      <x:c r="K23" s="36" t="str">
        <x:v>Large dirty tree</x:v>
      </x:c>
      <x:c r="L23" s="36" t="str">
        <x:v>Repository owner</x:v>
      </x:c>
      <x:c r="M23" s="36" t="str">
        <x:v>git status --short</x:v>
      </x:c>
      <x:c r="N23" s="45" t="n">
        <x:v>46250.5</x:v>
      </x:c>
      <x:c r="O23" s="48" t="n">
        <x:f>IF(B23="","",AVERAGE(IFERROR(VLOOKUP(D23,'Справочники'!$A$5:$B$14,2,FALSE),0),IFERROR(VLOOKUP(E23,'Справочники'!$D$5:$E$12,2,FALSE),0),IFERROR(VLOOKUP(F23,'Справочники'!$G$5:$H$12,2,FALSE),0),IFERROR(VLOOKUP(G23,'Справочники'!$J$5:$K$12,2,FALSE),0)))</x:f>
        <x:v>0.7374999999999999</x:v>
      </x:c>
      <x:c r="P23" s="36" t="str"/>
    </x:row>
    <x:row r="24" ht="44" customHeight="1">
      <x:c r="A24" s="39" t="str">
        <x:v>ARCH-AUD-03</x:v>
      </x:c>
      <x:c r="B24" s="36" t="str">
        <x:v>Runtime vs docs separation</x:v>
      </x:c>
      <x:c r="C24" s="36" t="str">
        <x:v>Audit invariant</x:v>
      </x:c>
      <x:c r="D24" s="42" t="str">
        <x:v>Готово</x:v>
      </x:c>
      <x:c r="E24" s="42" t="str">
        <x:v>Accepted</x:v>
      </x:c>
      <x:c r="F24" s="42" t="str">
        <x:v>Не требуется</x:v>
      </x:c>
      <x:c r="G24" s="42" t="str">
        <x:v>Текущие зелёные</x:v>
      </x:c>
      <x:c r="H24" s="42" t="str">
        <x:v>ADR/BCK boundary</x:v>
      </x:c>
      <x:c r="I24" s="42" t="str">
        <x:v>P0</x:v>
      </x:c>
      <x:c r="J24" s="36" t="str">
        <x:v>Keep Mobile, Backend, gate and market numbering separate</x:v>
      </x:c>
      <x:c r="K24" s="36" t="str"/>
      <x:c r="L24" s="36" t="str">
        <x:v>Architecture owner</x:v>
      </x:c>
      <x:c r="M24" s="36" t="str">
        <x:v>AGENTS.md</x:v>
      </x:c>
      <x:c r="N24" s="45" t="n">
        <x:v>46250.5</x:v>
      </x:c>
      <x:c r="O24" s="48" t="n">
        <x:f>IF(B24="","",AVERAGE(IFERROR(VLOOKUP(D24,'Справочники'!$A$5:$B$14,2,FALSE),0),IFERROR(VLOOKUP(E24,'Справочники'!$D$5:$E$12,2,FALSE),0),IFERROR(VLOOKUP(F24,'Справочники'!$G$5:$H$12,2,FALSE),0),IFERROR(VLOOKUP(G24,'Справочники'!$J$5:$K$12,2,FALSE),0)))</x:f>
        <x:v>1</x:v>
      </x:c>
      <x:c r="P24" s="36" t="str"/>
    </x:row>
    <x:row r="25" ht="44" customHeight="1">
      <x:c r="A25" s="39"/>
      <x:c r="B25" s="36"/>
      <x:c r="C25" s="36"/>
      <x:c r="D25" s="42"/>
      <x:c r="E25" s="42"/>
      <x:c r="F25" s="42"/>
      <x:c r="G25" s="42"/>
      <x:c r="H25" s="42"/>
      <x:c r="I25" s="42"/>
      <x:c r="J25" s="36"/>
      <x:c r="K25" s="36"/>
      <x:c r="L25" s="36"/>
      <x:c r="M25" s="36"/>
      <x:c r="N25" s="45"/>
      <x:c r="O25" s="48" t="str">
        <x:f>IF(B25="","",AVERAGE(IFERROR(VLOOKUP(D25,'Справочники'!$A$5:$B$14,2,FALSE),0),IFERROR(VLOOKUP(E25,'Справочники'!$D$5:$E$12,2,FALSE),0),IFERROR(VLOOKUP(F25,'Справочники'!$G$5:$H$12,2,FALSE),0),IFERROR(VLOOKUP(G25,'Справочники'!$J$5:$K$12,2,FALSE),0)))</x:f>
      </x:c>
      <x:c r="P25" s="36"/>
    </x:row>
    <x:row r="26" ht="44" customHeight="1">
      <x:c r="A26" s="39"/>
      <x:c r="B26" s="36"/>
      <x:c r="C26" s="36"/>
      <x:c r="D26" s="42"/>
      <x:c r="E26" s="42"/>
      <x:c r="F26" s="42"/>
      <x:c r="G26" s="42"/>
      <x:c r="H26" s="42"/>
      <x:c r="I26" s="42"/>
      <x:c r="J26" s="36"/>
      <x:c r="K26" s="36"/>
      <x:c r="L26" s="36"/>
      <x:c r="M26" s="36"/>
      <x:c r="N26" s="45"/>
      <x:c r="O26" s="48" t="str">
        <x:f>IF(B26="","",AVERAGE(IFERROR(VLOOKUP(D26,'Справочники'!$A$5:$B$14,2,FALSE),0),IFERROR(VLOOKUP(E26,'Справочники'!$D$5:$E$12,2,FALSE),0),IFERROR(VLOOKUP(F26,'Справочники'!$G$5:$H$12,2,FALSE),0),IFERROR(VLOOKUP(G26,'Справочники'!$J$5:$K$12,2,FALSE),0)))</x:f>
      </x:c>
      <x:c r="P26" s="36"/>
    </x:row>
    <x:row r="27" ht="44" customHeight="1">
      <x:c r="A27" s="39"/>
      <x:c r="B27" s="36"/>
      <x:c r="C27" s="36"/>
      <x:c r="D27" s="42"/>
      <x:c r="E27" s="42"/>
      <x:c r="F27" s="42"/>
      <x:c r="G27" s="42"/>
      <x:c r="H27" s="42"/>
      <x:c r="I27" s="42"/>
      <x:c r="J27" s="36"/>
      <x:c r="K27" s="36"/>
      <x:c r="L27" s="36"/>
      <x:c r="M27" s="36"/>
      <x:c r="N27" s="45"/>
      <x:c r="O27" s="48" t="str">
        <x:f>IF(B27="","",AVERAGE(IFERROR(VLOOKUP(D27,'Справочники'!$A$5:$B$14,2,FALSE),0),IFERROR(VLOOKUP(E27,'Справочники'!$D$5:$E$12,2,FALSE),0),IFERROR(VLOOKUP(F27,'Справочники'!$G$5:$H$12,2,FALSE),0),IFERROR(VLOOKUP(G27,'Справочники'!$J$5:$K$12,2,FALSE),0)))</x:f>
      </x:c>
      <x:c r="P27" s="36"/>
    </x:row>
    <x:row r="28" ht="44" customHeight="1">
      <x:c r="A28" s="39"/>
      <x:c r="B28" s="36"/>
      <x:c r="C28" s="36"/>
      <x:c r="D28" s="42"/>
      <x:c r="E28" s="42"/>
      <x:c r="F28" s="42"/>
      <x:c r="G28" s="42"/>
      <x:c r="H28" s="42"/>
      <x:c r="I28" s="42"/>
      <x:c r="J28" s="36"/>
      <x:c r="K28" s="36"/>
      <x:c r="L28" s="36"/>
      <x:c r="M28" s="36"/>
      <x:c r="N28" s="45"/>
      <x:c r="O28" s="48" t="str">
        <x:f>IF(B28="","",AVERAGE(IFERROR(VLOOKUP(D28,'Справочники'!$A$5:$B$14,2,FALSE),0),IFERROR(VLOOKUP(E28,'Справочники'!$D$5:$E$12,2,FALSE),0),IFERROR(VLOOKUP(F28,'Справочники'!$G$5:$H$12,2,FALSE),0),IFERROR(VLOOKUP(G28,'Справочники'!$J$5:$K$12,2,FALSE),0)))</x:f>
      </x:c>
      <x:c r="P28" s="36"/>
    </x:row>
    <x:row r="29" ht="44" customHeight="1">
      <x:c r="A29" s="39"/>
      <x:c r="B29" s="36"/>
      <x:c r="C29" s="36"/>
      <x:c r="D29" s="42"/>
      <x:c r="E29" s="42"/>
      <x:c r="F29" s="42"/>
      <x:c r="G29" s="42"/>
      <x:c r="H29" s="42"/>
      <x:c r="I29" s="42"/>
      <x:c r="J29" s="36"/>
      <x:c r="K29" s="36"/>
      <x:c r="L29" s="36"/>
      <x:c r="M29" s="36"/>
      <x:c r="N29" s="45"/>
      <x:c r="O29" s="48" t="str">
        <x:f>IF(B29="","",AVERAGE(IFERROR(VLOOKUP(D29,'Справочники'!$A$5:$B$14,2,FALSE),0),IFERROR(VLOOKUP(E29,'Справочники'!$D$5:$E$12,2,FALSE),0),IFERROR(VLOOKUP(F29,'Справочники'!$G$5:$H$12,2,FALSE),0),IFERROR(VLOOKUP(G29,'Справочники'!$J$5:$K$12,2,FALSE),0)))</x:f>
      </x:c>
      <x:c r="P29" s="36"/>
    </x:row>
    <x:row r="30" ht="44" customHeight="1">
      <x:c r="A30" s="39"/>
      <x:c r="B30" s="36"/>
      <x:c r="C30" s="36"/>
      <x:c r="D30" s="42"/>
      <x:c r="E30" s="42"/>
      <x:c r="F30" s="42"/>
      <x:c r="G30" s="42"/>
      <x:c r="H30" s="42"/>
      <x:c r="I30" s="42"/>
      <x:c r="J30" s="36"/>
      <x:c r="K30" s="36"/>
      <x:c r="L30" s="36"/>
      <x:c r="M30" s="36"/>
      <x:c r="N30" s="45"/>
      <x:c r="O30" s="48" t="str">
        <x:f>IF(B30="","",AVERAGE(IFERROR(VLOOKUP(D30,'Справочники'!$A$5:$B$14,2,FALSE),0),IFERROR(VLOOKUP(E30,'Справочники'!$D$5:$E$12,2,FALSE),0),IFERROR(VLOOKUP(F30,'Справочники'!$G$5:$H$12,2,FALSE),0),IFERROR(VLOOKUP(G30,'Справочники'!$J$5:$K$12,2,FALSE),0)))</x:f>
      </x:c>
      <x:c r="P30" s="36"/>
    </x:row>
    <x:row r="31" ht="44" customHeight="1">
      <x:c r="A31" s="39"/>
      <x:c r="B31" s="36"/>
      <x:c r="C31" s="36"/>
      <x:c r="D31" s="42"/>
      <x:c r="E31" s="42"/>
      <x:c r="F31" s="42"/>
      <x:c r="G31" s="42"/>
      <x:c r="H31" s="42"/>
      <x:c r="I31" s="42"/>
      <x:c r="J31" s="36"/>
      <x:c r="K31" s="36"/>
      <x:c r="L31" s="36"/>
      <x:c r="M31" s="36"/>
      <x:c r="N31" s="45"/>
      <x:c r="O31" s="48" t="str">
        <x:f>IF(B31="","",AVERAGE(IFERROR(VLOOKUP(D31,'Справочники'!$A$5:$B$14,2,FALSE),0),IFERROR(VLOOKUP(E31,'Справочники'!$D$5:$E$12,2,FALSE),0),IFERROR(VLOOKUP(F31,'Справочники'!$G$5:$H$12,2,FALSE),0),IFERROR(VLOOKUP(G31,'Справочники'!$J$5:$K$12,2,FALSE),0)))</x:f>
      </x:c>
      <x:c r="P31" s="36"/>
    </x:row>
    <x:row r="32" ht="44" customHeight="1">
      <x:c r="A32" s="39"/>
      <x:c r="B32" s="36"/>
      <x:c r="C32" s="36"/>
      <x:c r="D32" s="42"/>
      <x:c r="E32" s="42"/>
      <x:c r="F32" s="42"/>
      <x:c r="G32" s="42"/>
      <x:c r="H32" s="42"/>
      <x:c r="I32" s="42"/>
      <x:c r="J32" s="36"/>
      <x:c r="K32" s="36"/>
      <x:c r="L32" s="36"/>
      <x:c r="M32" s="36"/>
      <x:c r="N32" s="45"/>
      <x:c r="O32" s="48" t="str">
        <x:f>IF(B32="","",AVERAGE(IFERROR(VLOOKUP(D32,'Справочники'!$A$5:$B$14,2,FALSE),0),IFERROR(VLOOKUP(E32,'Справочники'!$D$5:$E$12,2,FALSE),0),IFERROR(VLOOKUP(F32,'Справочники'!$G$5:$H$12,2,FALSE),0),IFERROR(VLOOKUP(G32,'Справочники'!$J$5:$K$12,2,FALSE),0)))</x:f>
      </x:c>
      <x:c r="P32" s="36"/>
    </x:row>
    <x:row r="33" ht="44" customHeight="1">
      <x:c r="A33" s="39"/>
      <x:c r="B33" s="36"/>
      <x:c r="C33" s="36"/>
      <x:c r="D33" s="42"/>
      <x:c r="E33" s="42"/>
      <x:c r="F33" s="42"/>
      <x:c r="G33" s="42"/>
      <x:c r="H33" s="42"/>
      <x:c r="I33" s="42"/>
      <x:c r="J33" s="36"/>
      <x:c r="K33" s="36"/>
      <x:c r="L33" s="36"/>
      <x:c r="M33" s="36"/>
      <x:c r="N33" s="45"/>
      <x:c r="O33" s="48" t="str">
        <x:f>IF(B33="","",AVERAGE(IFERROR(VLOOKUP(D33,'Справочники'!$A$5:$B$14,2,FALSE),0),IFERROR(VLOOKUP(E33,'Справочники'!$D$5:$E$12,2,FALSE),0),IFERROR(VLOOKUP(F33,'Справочники'!$G$5:$H$12,2,FALSE),0),IFERROR(VLOOKUP(G33,'Справочники'!$J$5:$K$12,2,FALSE),0)))</x:f>
      </x:c>
      <x:c r="P33" s="36"/>
    </x:row>
    <x:row r="34" ht="44" customHeight="1">
      <x:c r="A34" s="39"/>
      <x:c r="B34" s="36"/>
      <x:c r="C34" s="36"/>
      <x:c r="D34" s="42"/>
      <x:c r="E34" s="42"/>
      <x:c r="F34" s="42"/>
      <x:c r="G34" s="42"/>
      <x:c r="H34" s="42"/>
      <x:c r="I34" s="42"/>
      <x:c r="J34" s="36"/>
      <x:c r="K34" s="36"/>
      <x:c r="L34" s="36"/>
      <x:c r="M34" s="36"/>
      <x:c r="N34" s="45"/>
      <x:c r="O34" s="48" t="str">
        <x:f>IF(B34="","",AVERAGE(IFERROR(VLOOKUP(D34,'Справочники'!$A$5:$B$14,2,FALSE),0),IFERROR(VLOOKUP(E34,'Справочники'!$D$5:$E$12,2,FALSE),0),IFERROR(VLOOKUP(F34,'Справочники'!$G$5:$H$12,2,FALSE),0),IFERROR(VLOOKUP(G34,'Справочники'!$J$5:$K$12,2,FALSE),0)))</x:f>
      </x:c>
      <x:c r="P34" s="36"/>
    </x:row>
    <x:row r="35" ht="44" customHeight="1">
      <x:c r="A35" s="39"/>
      <x:c r="B35" s="36"/>
      <x:c r="C35" s="36"/>
      <x:c r="D35" s="42"/>
      <x:c r="E35" s="42"/>
      <x:c r="F35" s="42"/>
      <x:c r="G35" s="42"/>
      <x:c r="H35" s="42"/>
      <x:c r="I35" s="42"/>
      <x:c r="J35" s="36"/>
      <x:c r="K35" s="36"/>
      <x:c r="L35" s="36"/>
      <x:c r="M35" s="36"/>
      <x:c r="N35" s="45"/>
      <x:c r="O35" s="48" t="str">
        <x:f>IF(B35="","",AVERAGE(IFERROR(VLOOKUP(D35,'Справочники'!$A$5:$B$14,2,FALSE),0),IFERROR(VLOOKUP(E35,'Справочники'!$D$5:$E$12,2,FALSE),0),IFERROR(VLOOKUP(F35,'Справочники'!$G$5:$H$12,2,FALSE),0),IFERROR(VLOOKUP(G35,'Справочники'!$J$5:$K$12,2,FALSE),0)))</x:f>
      </x:c>
      <x:c r="P35" s="36"/>
    </x:row>
    <x:row r="36" ht="44" customHeight="1">
      <x:c r="A36" s="39"/>
      <x:c r="B36" s="36"/>
      <x:c r="C36" s="36"/>
      <x:c r="D36" s="42"/>
      <x:c r="E36" s="42"/>
      <x:c r="F36" s="42"/>
      <x:c r="G36" s="42"/>
      <x:c r="H36" s="42"/>
      <x:c r="I36" s="42"/>
      <x:c r="J36" s="36"/>
      <x:c r="K36" s="36"/>
      <x:c r="L36" s="36"/>
      <x:c r="M36" s="36"/>
      <x:c r="N36" s="45"/>
      <x:c r="O36" s="48" t="str">
        <x:f>IF(B36="","",AVERAGE(IFERROR(VLOOKUP(D36,'Справочники'!$A$5:$B$14,2,FALSE),0),IFERROR(VLOOKUP(E36,'Справочники'!$D$5:$E$12,2,FALSE),0),IFERROR(VLOOKUP(F36,'Справочники'!$G$5:$H$12,2,FALSE),0),IFERROR(VLOOKUP(G36,'Справочники'!$J$5:$K$12,2,FALSE),0)))</x:f>
      </x:c>
      <x:c r="P36" s="36"/>
    </x:row>
    <x:row r="37" ht="44" customHeight="1">
      <x:c r="A37" s="39"/>
      <x:c r="B37" s="36"/>
      <x:c r="C37" s="36"/>
      <x:c r="D37" s="42"/>
      <x:c r="E37" s="42"/>
      <x:c r="F37" s="42"/>
      <x:c r="G37" s="42"/>
      <x:c r="H37" s="42"/>
      <x:c r="I37" s="42"/>
      <x:c r="J37" s="36"/>
      <x:c r="K37" s="36"/>
      <x:c r="L37" s="36"/>
      <x:c r="M37" s="36"/>
      <x:c r="N37" s="45"/>
      <x:c r="O37" s="48" t="str">
        <x:f>IF(B37="","",AVERAGE(IFERROR(VLOOKUP(D37,'Справочники'!$A$5:$B$14,2,FALSE),0),IFERROR(VLOOKUP(E37,'Справочники'!$D$5:$E$12,2,FALSE),0),IFERROR(VLOOKUP(F37,'Справочники'!$G$5:$H$12,2,FALSE),0),IFERROR(VLOOKUP(G37,'Справочники'!$J$5:$K$12,2,FALSE),0)))</x:f>
      </x:c>
      <x:c r="P37" s="36"/>
    </x:row>
    <x:row r="38" ht="44" customHeight="1">
      <x:c r="A38" s="39"/>
      <x:c r="B38" s="36"/>
      <x:c r="C38" s="36"/>
      <x:c r="D38" s="42"/>
      <x:c r="E38" s="42"/>
      <x:c r="F38" s="42"/>
      <x:c r="G38" s="42"/>
      <x:c r="H38" s="42"/>
      <x:c r="I38" s="42"/>
      <x:c r="J38" s="36"/>
      <x:c r="K38" s="36"/>
      <x:c r="L38" s="36"/>
      <x:c r="M38" s="36"/>
      <x:c r="N38" s="45"/>
      <x:c r="O38" s="48" t="str">
        <x:f>IF(B38="","",AVERAGE(IFERROR(VLOOKUP(D38,'Справочники'!$A$5:$B$14,2,FALSE),0),IFERROR(VLOOKUP(E38,'Справочники'!$D$5:$E$12,2,FALSE),0),IFERROR(VLOOKUP(F38,'Справочники'!$G$5:$H$12,2,FALSE),0),IFERROR(VLOOKUP(G38,'Справочники'!$J$5:$K$12,2,FALSE),0)))</x:f>
      </x:c>
      <x:c r="P38" s="36"/>
    </x:row>
    <x:row r="39" ht="44" customHeight="1">
      <x:c r="A39" s="39"/>
      <x:c r="B39" s="36"/>
      <x:c r="C39" s="36"/>
      <x:c r="D39" s="42"/>
      <x:c r="E39" s="42"/>
      <x:c r="F39" s="42"/>
      <x:c r="G39" s="42"/>
      <x:c r="H39" s="42"/>
      <x:c r="I39" s="42"/>
      <x:c r="J39" s="36"/>
      <x:c r="K39" s="36"/>
      <x:c r="L39" s="36"/>
      <x:c r="M39" s="36"/>
      <x:c r="N39" s="45"/>
      <x:c r="O39" s="48" t="str">
        <x:f>IF(B39="","",AVERAGE(IFERROR(VLOOKUP(D39,'Справочники'!$A$5:$B$14,2,FALSE),0),IFERROR(VLOOKUP(E39,'Справочники'!$D$5:$E$12,2,FALSE),0),IFERROR(VLOOKUP(F39,'Справочники'!$G$5:$H$12,2,FALSE),0),IFERROR(VLOOKUP(G39,'Справочники'!$J$5:$K$12,2,FALSE),0)))</x:f>
      </x:c>
      <x:c r="P39" s="36"/>
    </x:row>
    <x:row r="40" ht="44" customHeight="1">
      <x:c r="A40" s="39"/>
      <x:c r="B40" s="36"/>
      <x:c r="C40" s="36"/>
      <x:c r="D40" s="42"/>
      <x:c r="E40" s="42"/>
      <x:c r="F40" s="42"/>
      <x:c r="G40" s="42"/>
      <x:c r="H40" s="42"/>
      <x:c r="I40" s="42"/>
      <x:c r="J40" s="36"/>
      <x:c r="K40" s="36"/>
      <x:c r="L40" s="36"/>
      <x:c r="M40" s="36"/>
      <x:c r="N40" s="45"/>
      <x:c r="O40" s="48" t="str">
        <x:f>IF(B40="","",AVERAGE(IFERROR(VLOOKUP(D40,'Справочники'!$A$5:$B$14,2,FALSE),0),IFERROR(VLOOKUP(E40,'Справочники'!$D$5:$E$12,2,FALSE),0),IFERROR(VLOOKUP(F40,'Справочники'!$G$5:$H$12,2,FALSE),0),IFERROR(VLOOKUP(G40,'Справочники'!$J$5:$K$12,2,FALSE),0)))</x:f>
      </x:c>
      <x:c r="P40" s="36"/>
    </x:row>
    <x:row r="41" ht="44" customHeight="1">
      <x:c r="A41" s="39"/>
      <x:c r="B41" s="36"/>
      <x:c r="C41" s="36"/>
      <x:c r="D41" s="42"/>
      <x:c r="E41" s="42"/>
      <x:c r="F41" s="42"/>
      <x:c r="G41" s="42"/>
      <x:c r="H41" s="42"/>
      <x:c r="I41" s="42"/>
      <x:c r="J41" s="36"/>
      <x:c r="K41" s="36"/>
      <x:c r="L41" s="36"/>
      <x:c r="M41" s="36"/>
      <x:c r="N41" s="45"/>
      <x:c r="O41" s="48" t="str">
        <x:f>IF(B41="","",AVERAGE(IFERROR(VLOOKUP(D41,'Справочники'!$A$5:$B$14,2,FALSE),0),IFERROR(VLOOKUP(E41,'Справочники'!$D$5:$E$12,2,FALSE),0),IFERROR(VLOOKUP(F41,'Справочники'!$G$5:$H$12,2,FALSE),0),IFERROR(VLOOKUP(G41,'Справочники'!$J$5:$K$12,2,FALSE),0)))</x:f>
      </x:c>
      <x:c r="P41" s="36"/>
    </x:row>
    <x:row r="42" ht="44" customHeight="1">
      <x:c r="A42" s="39"/>
      <x:c r="B42" s="36"/>
      <x:c r="C42" s="36"/>
      <x:c r="D42" s="42"/>
      <x:c r="E42" s="42"/>
      <x:c r="F42" s="42"/>
      <x:c r="G42" s="42"/>
      <x:c r="H42" s="42"/>
      <x:c r="I42" s="42"/>
      <x:c r="J42" s="36"/>
      <x:c r="K42" s="36"/>
      <x:c r="L42" s="36"/>
      <x:c r="M42" s="36"/>
      <x:c r="N42" s="45"/>
      <x:c r="O42" s="48" t="str">
        <x:f>IF(B42="","",AVERAGE(IFERROR(VLOOKUP(D42,'Справочники'!$A$5:$B$14,2,FALSE),0),IFERROR(VLOOKUP(E42,'Справочники'!$D$5:$E$12,2,FALSE),0),IFERROR(VLOOKUP(F42,'Справочники'!$G$5:$H$12,2,FALSE),0),IFERROR(VLOOKUP(G42,'Справочники'!$J$5:$K$12,2,FALSE),0)))</x:f>
      </x:c>
      <x:c r="P42" s="36"/>
    </x:row>
    <x:row r="43" ht="44" customHeight="1">
      <x:c r="A43" s="39"/>
      <x:c r="B43" s="36"/>
      <x:c r="C43" s="36"/>
      <x:c r="D43" s="42"/>
      <x:c r="E43" s="42"/>
      <x:c r="F43" s="42"/>
      <x:c r="G43" s="42"/>
      <x:c r="H43" s="42"/>
      <x:c r="I43" s="42"/>
      <x:c r="J43" s="36"/>
      <x:c r="K43" s="36"/>
      <x:c r="L43" s="36"/>
      <x:c r="M43" s="36"/>
      <x:c r="N43" s="45"/>
      <x:c r="O43" s="48" t="str">
        <x:f>IF(B43="","",AVERAGE(IFERROR(VLOOKUP(D43,'Справочники'!$A$5:$B$14,2,FALSE),0),IFERROR(VLOOKUP(E43,'Справочники'!$D$5:$E$12,2,FALSE),0),IFERROR(VLOOKUP(F43,'Справочники'!$G$5:$H$12,2,FALSE),0),IFERROR(VLOOKUP(G43,'Справочники'!$J$5:$K$12,2,FALSE),0)))</x:f>
      </x:c>
      <x:c r="P43" s="36"/>
    </x:row>
    <x:row r="44" ht="44" customHeight="1">
      <x:c r="A44" s="39"/>
      <x:c r="B44" s="36"/>
      <x:c r="C44" s="36"/>
      <x:c r="D44" s="42"/>
      <x:c r="E44" s="42"/>
      <x:c r="F44" s="42"/>
      <x:c r="G44" s="42"/>
      <x:c r="H44" s="42"/>
      <x:c r="I44" s="42"/>
      <x:c r="J44" s="36"/>
      <x:c r="K44" s="36"/>
      <x:c r="L44" s="36"/>
      <x:c r="M44" s="36"/>
      <x:c r="N44" s="45"/>
      <x:c r="O44" s="48" t="str">
        <x:f>IF(B44="","",AVERAGE(IFERROR(VLOOKUP(D44,'Справочники'!$A$5:$B$14,2,FALSE),0),IFERROR(VLOOKUP(E44,'Справочники'!$D$5:$E$12,2,FALSE),0),IFERROR(VLOOKUP(F44,'Справочники'!$G$5:$H$12,2,FALSE),0),IFERROR(VLOOKUP(G44,'Справочники'!$J$5:$K$12,2,FALSE),0)))</x:f>
      </x:c>
      <x:c r="P44" s="36"/>
    </x:row>
    <x:row r="45" ht="44" customHeight="1">
      <x:c r="A45" s="39"/>
      <x:c r="B45" s="36"/>
      <x:c r="C45" s="36"/>
      <x:c r="D45" s="42"/>
      <x:c r="E45" s="42"/>
      <x:c r="F45" s="42"/>
      <x:c r="G45" s="42"/>
      <x:c r="H45" s="42"/>
      <x:c r="I45" s="42"/>
      <x:c r="J45" s="36"/>
      <x:c r="K45" s="36"/>
      <x:c r="L45" s="36"/>
      <x:c r="M45" s="36"/>
      <x:c r="N45" s="45"/>
      <x:c r="O45" s="48" t="str">
        <x:f>IF(B45="","",AVERAGE(IFERROR(VLOOKUP(D45,'Справочники'!$A$5:$B$14,2,FALSE),0),IFERROR(VLOOKUP(E45,'Справочники'!$D$5:$E$12,2,FALSE),0),IFERROR(VLOOKUP(F45,'Справочники'!$G$5:$H$12,2,FALSE),0),IFERROR(VLOOKUP(G45,'Справочники'!$J$5:$K$12,2,FALSE),0)))</x:f>
      </x:c>
      <x:c r="P45" s="36"/>
    </x:row>
    <x:row r="46" ht="44" customHeight="1">
      <x:c r="A46" s="39"/>
      <x:c r="B46" s="36"/>
      <x:c r="C46" s="36"/>
      <x:c r="D46" s="42"/>
      <x:c r="E46" s="42"/>
      <x:c r="F46" s="42"/>
      <x:c r="G46" s="42"/>
      <x:c r="H46" s="42"/>
      <x:c r="I46" s="42"/>
      <x:c r="J46" s="36"/>
      <x:c r="K46" s="36"/>
      <x:c r="L46" s="36"/>
      <x:c r="M46" s="36"/>
      <x:c r="N46" s="45"/>
      <x:c r="O46" s="48" t="str">
        <x:f>IF(B46="","",AVERAGE(IFERROR(VLOOKUP(D46,'Справочники'!$A$5:$B$14,2,FALSE),0),IFERROR(VLOOKUP(E46,'Справочники'!$D$5:$E$12,2,FALSE),0),IFERROR(VLOOKUP(F46,'Справочники'!$G$5:$H$12,2,FALSE),0),IFERROR(VLOOKUP(G46,'Справочники'!$J$5:$K$12,2,FALSE),0)))</x:f>
      </x:c>
      <x:c r="P46" s="36"/>
    </x:row>
    <x:row r="47" ht="44" customHeight="1">
      <x:c r="A47" s="39"/>
      <x:c r="B47" s="36"/>
      <x:c r="C47" s="36"/>
      <x:c r="D47" s="42"/>
      <x:c r="E47" s="42"/>
      <x:c r="F47" s="42"/>
      <x:c r="G47" s="42"/>
      <x:c r="H47" s="42"/>
      <x:c r="I47" s="42"/>
      <x:c r="J47" s="36"/>
      <x:c r="K47" s="36"/>
      <x:c r="L47" s="36"/>
      <x:c r="M47" s="36"/>
      <x:c r="N47" s="45"/>
      <x:c r="O47" s="48" t="str">
        <x:f>IF(B47="","",AVERAGE(IFERROR(VLOOKUP(D47,'Справочники'!$A$5:$B$14,2,FALSE),0),IFERROR(VLOOKUP(E47,'Справочники'!$D$5:$E$12,2,FALSE),0),IFERROR(VLOOKUP(F47,'Справочники'!$G$5:$H$12,2,FALSE),0),IFERROR(VLOOKUP(G47,'Справочники'!$J$5:$K$12,2,FALSE),0)))</x:f>
      </x:c>
      <x:c r="P47" s="36"/>
    </x:row>
    <x:row r="48" ht="44" customHeight="1">
      <x:c r="A48" s="39"/>
      <x:c r="B48" s="36"/>
      <x:c r="C48" s="36"/>
      <x:c r="D48" s="42"/>
      <x:c r="E48" s="42"/>
      <x:c r="F48" s="42"/>
      <x:c r="G48" s="42"/>
      <x:c r="H48" s="42"/>
      <x:c r="I48" s="42"/>
      <x:c r="J48" s="36"/>
      <x:c r="K48" s="36"/>
      <x:c r="L48" s="36"/>
      <x:c r="M48" s="36"/>
      <x:c r="N48" s="45"/>
      <x:c r="O48" s="48" t="str">
        <x:f>IF(B48="","",AVERAGE(IFERROR(VLOOKUP(D48,'Справочники'!$A$5:$B$14,2,FALSE),0),IFERROR(VLOOKUP(E48,'Справочники'!$D$5:$E$12,2,FALSE),0),IFERROR(VLOOKUP(F48,'Справочники'!$G$5:$H$12,2,FALSE),0),IFERROR(VLOOKUP(G48,'Справочники'!$J$5:$K$12,2,FALSE),0)))</x:f>
      </x:c>
      <x:c r="P48" s="36"/>
    </x:row>
    <x:row r="49" ht="44" customHeight="1">
      <x:c r="A49" s="39"/>
      <x:c r="B49" s="36"/>
      <x:c r="C49" s="36"/>
      <x:c r="D49" s="42"/>
      <x:c r="E49" s="42"/>
      <x:c r="F49" s="42"/>
      <x:c r="G49" s="42"/>
      <x:c r="H49" s="42"/>
      <x:c r="I49" s="42"/>
      <x:c r="J49" s="36"/>
      <x:c r="K49" s="36"/>
      <x:c r="L49" s="36"/>
      <x:c r="M49" s="36"/>
      <x:c r="N49" s="45"/>
      <x:c r="O49" s="48" t="str">
        <x:f>IF(B49="","",AVERAGE(IFERROR(VLOOKUP(D49,'Справочники'!$A$5:$B$14,2,FALSE),0),IFERROR(VLOOKUP(E49,'Справочники'!$D$5:$E$12,2,FALSE),0),IFERROR(VLOOKUP(F49,'Справочники'!$G$5:$H$12,2,FALSE),0),IFERROR(VLOOKUP(G49,'Справочники'!$J$5:$K$12,2,FALSE),0)))</x:f>
      </x:c>
      <x:c r="P49" s="36"/>
    </x:row>
    <x:row r="50" ht="44" customHeight="1">
      <x:c r="A50" s="39"/>
      <x:c r="B50" s="36"/>
      <x:c r="C50" s="36"/>
      <x:c r="D50" s="42"/>
      <x:c r="E50" s="42"/>
      <x:c r="F50" s="42"/>
      <x:c r="G50" s="42"/>
      <x:c r="H50" s="42"/>
      <x:c r="I50" s="42"/>
      <x:c r="J50" s="36"/>
      <x:c r="K50" s="36"/>
      <x:c r="L50" s="36"/>
      <x:c r="M50" s="36"/>
      <x:c r="N50" s="45"/>
      <x:c r="O50" s="48" t="str">
        <x:f>IF(B50="","",AVERAGE(IFERROR(VLOOKUP(D50,'Справочники'!$A$5:$B$14,2,FALSE),0),IFERROR(VLOOKUP(E50,'Справочники'!$D$5:$E$12,2,FALSE),0),IFERROR(VLOOKUP(F50,'Справочники'!$G$5:$H$12,2,FALSE),0),IFERROR(VLOOKUP(G50,'Справочники'!$J$5:$K$12,2,FALSE),0)))</x:f>
      </x:c>
      <x:c r="P50" s="36"/>
    </x:row>
    <x:row r="51" ht="44" customHeight="1">
      <x:c r="A51" s="39"/>
      <x:c r="B51" s="36"/>
      <x:c r="C51" s="36"/>
      <x:c r="D51" s="42"/>
      <x:c r="E51" s="42"/>
      <x:c r="F51" s="42"/>
      <x:c r="G51" s="42"/>
      <x:c r="H51" s="42"/>
      <x:c r="I51" s="42"/>
      <x:c r="J51" s="36"/>
      <x:c r="K51" s="36"/>
      <x:c r="L51" s="36"/>
      <x:c r="M51" s="36"/>
      <x:c r="N51" s="45"/>
      <x:c r="O51" s="48" t="str">
        <x:f>IF(B51="","",AVERAGE(IFERROR(VLOOKUP(D51,'Справочники'!$A$5:$B$14,2,FALSE),0),IFERROR(VLOOKUP(E51,'Справочники'!$D$5:$E$12,2,FALSE),0),IFERROR(VLOOKUP(F51,'Справочники'!$G$5:$H$12,2,FALSE),0),IFERROR(VLOOKUP(G51,'Справочники'!$J$5:$K$12,2,FALSE),0)))</x:f>
      </x:c>
      <x:c r="P51" s="36"/>
    </x:row>
    <x:row r="52" ht="44" customHeight="1">
      <x:c r="A52" s="39"/>
      <x:c r="B52" s="36"/>
      <x:c r="C52" s="36"/>
      <x:c r="D52" s="42"/>
      <x:c r="E52" s="42"/>
      <x:c r="F52" s="42"/>
      <x:c r="G52" s="42"/>
      <x:c r="H52" s="42"/>
      <x:c r="I52" s="42"/>
      <x:c r="J52" s="36"/>
      <x:c r="K52" s="36"/>
      <x:c r="L52" s="36"/>
      <x:c r="M52" s="36"/>
      <x:c r="N52" s="45"/>
      <x:c r="O52" s="48" t="str">
        <x:f>IF(B52="","",AVERAGE(IFERROR(VLOOKUP(D52,'Справочники'!$A$5:$B$14,2,FALSE),0),IFERROR(VLOOKUP(E52,'Справочники'!$D$5:$E$12,2,FALSE),0),IFERROR(VLOOKUP(F52,'Справочники'!$G$5:$H$12,2,FALSE),0),IFERROR(VLOOKUP(G52,'Справочники'!$J$5:$K$12,2,FALSE),0)))</x:f>
      </x:c>
      <x:c r="P52" s="36"/>
    </x:row>
    <x:row r="53" ht="44" customHeight="1">
      <x:c r="A53" s="39"/>
      <x:c r="B53" s="36"/>
      <x:c r="C53" s="36"/>
      <x:c r="D53" s="42"/>
      <x:c r="E53" s="42"/>
      <x:c r="F53" s="42"/>
      <x:c r="G53" s="42"/>
      <x:c r="H53" s="42"/>
      <x:c r="I53" s="42"/>
      <x:c r="J53" s="36"/>
      <x:c r="K53" s="36"/>
      <x:c r="L53" s="36"/>
      <x:c r="M53" s="36"/>
      <x:c r="N53" s="45"/>
      <x:c r="O53" s="48" t="str">
        <x:f>IF(B53="","",AVERAGE(IFERROR(VLOOKUP(D53,'Справочники'!$A$5:$B$14,2,FALSE),0),IFERROR(VLOOKUP(E53,'Справочники'!$D$5:$E$12,2,FALSE),0),IFERROR(VLOOKUP(F53,'Справочники'!$G$5:$H$12,2,FALSE),0),IFERROR(VLOOKUP(G53,'Справочники'!$J$5:$K$12,2,FALSE),0)))</x:f>
      </x:c>
      <x:c r="P53" s="36"/>
    </x:row>
    <x:row r="54" ht="44" customHeight="1">
      <x:c r="A54" s="39"/>
      <x:c r="B54" s="36"/>
      <x:c r="C54" s="36"/>
      <x:c r="D54" s="42"/>
      <x:c r="E54" s="42"/>
      <x:c r="F54" s="42"/>
      <x:c r="G54" s="42"/>
      <x:c r="H54" s="42"/>
      <x:c r="I54" s="42"/>
      <x:c r="J54" s="36"/>
      <x:c r="K54" s="36"/>
      <x:c r="L54" s="36"/>
      <x:c r="M54" s="36"/>
      <x:c r="N54" s="45"/>
      <x:c r="O54" s="48" t="str">
        <x:f>IF(B54="","",AVERAGE(IFERROR(VLOOKUP(D54,'Справочники'!$A$5:$B$14,2,FALSE),0),IFERROR(VLOOKUP(E54,'Справочники'!$D$5:$E$12,2,FALSE),0),IFERROR(VLOOKUP(F54,'Справочники'!$G$5:$H$12,2,FALSE),0),IFERROR(VLOOKUP(G54,'Справочники'!$J$5:$K$12,2,FALSE),0)))</x:f>
      </x:c>
      <x:c r="P54" s="36"/>
    </x:row>
    <x:row r="55" ht="44" customHeight="1">
      <x:c r="A55" s="39"/>
      <x:c r="B55" s="36"/>
      <x:c r="C55" s="36"/>
      <x:c r="D55" s="42"/>
      <x:c r="E55" s="42"/>
      <x:c r="F55" s="42"/>
      <x:c r="G55" s="42"/>
      <x:c r="H55" s="42"/>
      <x:c r="I55" s="42"/>
      <x:c r="J55" s="36"/>
      <x:c r="K55" s="36"/>
      <x:c r="L55" s="36"/>
      <x:c r="M55" s="36"/>
      <x:c r="N55" s="45"/>
      <x:c r="O55" s="48" t="str">
        <x:f>IF(B55="","",AVERAGE(IFERROR(VLOOKUP(D55,'Справочники'!$A$5:$B$14,2,FALSE),0),IFERROR(VLOOKUP(E55,'Справочники'!$D$5:$E$12,2,FALSE),0),IFERROR(VLOOKUP(F55,'Справочники'!$G$5:$H$12,2,FALSE),0),IFERROR(VLOOKUP(G55,'Справочники'!$J$5:$K$12,2,FALSE),0)))</x:f>
      </x:c>
      <x:c r="P55" s="36"/>
    </x:row>
    <x:row r="56" ht="44" customHeight="1">
      <x:c r="A56" s="39"/>
      <x:c r="B56" s="36"/>
      <x:c r="C56" s="36"/>
      <x:c r="D56" s="42"/>
      <x:c r="E56" s="42"/>
      <x:c r="F56" s="42"/>
      <x:c r="G56" s="42"/>
      <x:c r="H56" s="42"/>
      <x:c r="I56" s="42"/>
      <x:c r="J56" s="36"/>
      <x:c r="K56" s="36"/>
      <x:c r="L56" s="36"/>
      <x:c r="M56" s="36"/>
      <x:c r="N56" s="45"/>
      <x:c r="O56" s="48" t="str">
        <x:f>IF(B56="","",AVERAGE(IFERROR(VLOOKUP(D56,'Справочники'!$A$5:$B$14,2,FALSE),0),IFERROR(VLOOKUP(E56,'Справочники'!$D$5:$E$12,2,FALSE),0),IFERROR(VLOOKUP(F56,'Справочники'!$G$5:$H$12,2,FALSE),0),IFERROR(VLOOKUP(G56,'Справочники'!$J$5:$K$12,2,FALSE),0)))</x:f>
      </x:c>
      <x:c r="P56" s="36"/>
    </x:row>
    <x:row r="57" ht="44" customHeight="1">
      <x:c r="A57" s="39"/>
      <x:c r="B57" s="36"/>
      <x:c r="C57" s="36"/>
      <x:c r="D57" s="42"/>
      <x:c r="E57" s="42"/>
      <x:c r="F57" s="42"/>
      <x:c r="G57" s="42"/>
      <x:c r="H57" s="42"/>
      <x:c r="I57" s="42"/>
      <x:c r="J57" s="36"/>
      <x:c r="K57" s="36"/>
      <x:c r="L57" s="36"/>
      <x:c r="M57" s="36"/>
      <x:c r="N57" s="45"/>
      <x:c r="O57" s="48" t="str">
        <x:f>IF(B57="","",AVERAGE(IFERROR(VLOOKUP(D57,'Справочники'!$A$5:$B$14,2,FALSE),0),IFERROR(VLOOKUP(E57,'Справочники'!$D$5:$E$12,2,FALSE),0),IFERROR(VLOOKUP(F57,'Справочники'!$G$5:$H$12,2,FALSE),0),IFERROR(VLOOKUP(G57,'Справочники'!$J$5:$K$12,2,FALSE),0)))</x:f>
      </x:c>
      <x:c r="P57" s="36"/>
    </x:row>
    <x:row r="58" ht="44" customHeight="1">
      <x:c r="A58" s="39"/>
      <x:c r="B58" s="36"/>
      <x:c r="C58" s="36"/>
      <x:c r="D58" s="42"/>
      <x:c r="E58" s="42"/>
      <x:c r="F58" s="42"/>
      <x:c r="G58" s="42"/>
      <x:c r="H58" s="42"/>
      <x:c r="I58" s="42"/>
      <x:c r="J58" s="36"/>
      <x:c r="K58" s="36"/>
      <x:c r="L58" s="36"/>
      <x:c r="M58" s="36"/>
      <x:c r="N58" s="45"/>
      <x:c r="O58" s="48" t="str">
        <x:f>IF(B58="","",AVERAGE(IFERROR(VLOOKUP(D58,'Справочники'!$A$5:$B$14,2,FALSE),0),IFERROR(VLOOKUP(E58,'Справочники'!$D$5:$E$12,2,FALSE),0),IFERROR(VLOOKUP(F58,'Справочники'!$G$5:$H$12,2,FALSE),0),IFERROR(VLOOKUP(G58,'Справочники'!$J$5:$K$12,2,FALSE),0)))</x:f>
      </x:c>
      <x:c r="P58" s="36"/>
    </x:row>
    <x:row r="59" ht="44" customHeight="1">
      <x:c r="A59" s="39"/>
      <x:c r="B59" s="36"/>
      <x:c r="C59" s="36"/>
      <x:c r="D59" s="42"/>
      <x:c r="E59" s="42"/>
      <x:c r="F59" s="42"/>
      <x:c r="G59" s="42"/>
      <x:c r="H59" s="42"/>
      <x:c r="I59" s="42"/>
      <x:c r="J59" s="36"/>
      <x:c r="K59" s="36"/>
      <x:c r="L59" s="36"/>
      <x:c r="M59" s="36"/>
      <x:c r="N59" s="45"/>
      <x:c r="O59" s="48" t="str">
        <x:f>IF(B59="","",AVERAGE(IFERROR(VLOOKUP(D59,'Справочники'!$A$5:$B$14,2,FALSE),0),IFERROR(VLOOKUP(E59,'Справочники'!$D$5:$E$12,2,FALSE),0),IFERROR(VLOOKUP(F59,'Справочники'!$G$5:$H$12,2,FALSE),0),IFERROR(VLOOKUP(G59,'Справочники'!$J$5:$K$12,2,FALSE),0)))</x:f>
      </x:c>
      <x:c r="P59" s="36"/>
    </x:row>
    <x:row r="60" ht="44" customHeight="1">
      <x:c r="A60" s="39"/>
      <x:c r="B60" s="36"/>
      <x:c r="C60" s="36"/>
      <x:c r="D60" s="42"/>
      <x:c r="E60" s="42"/>
      <x:c r="F60" s="42"/>
      <x:c r="G60" s="42"/>
      <x:c r="H60" s="42"/>
      <x:c r="I60" s="42"/>
      <x:c r="J60" s="36"/>
      <x:c r="K60" s="36"/>
      <x:c r="L60" s="36"/>
      <x:c r="M60" s="36"/>
      <x:c r="N60" s="45"/>
      <x:c r="O60" s="48" t="str">
        <x:f>IF(B60="","",AVERAGE(IFERROR(VLOOKUP(D60,'Справочники'!$A$5:$B$14,2,FALSE),0),IFERROR(VLOOKUP(E60,'Справочники'!$D$5:$E$12,2,FALSE),0),IFERROR(VLOOKUP(F60,'Справочники'!$G$5:$H$12,2,FALSE),0),IFERROR(VLOOKUP(G60,'Справочники'!$J$5:$K$12,2,FALSE),0)))</x:f>
      </x:c>
      <x:c r="P60" s="36"/>
    </x:row>
    <x:row r="61" ht="44" customHeight="1">
      <x:c r="A61" s="39"/>
      <x:c r="B61" s="36"/>
      <x:c r="C61" s="36"/>
      <x:c r="D61" s="42"/>
      <x:c r="E61" s="42"/>
      <x:c r="F61" s="42"/>
      <x:c r="G61" s="42"/>
      <x:c r="H61" s="42"/>
      <x:c r="I61" s="42"/>
      <x:c r="J61" s="36"/>
      <x:c r="K61" s="36"/>
      <x:c r="L61" s="36"/>
      <x:c r="M61" s="36"/>
      <x:c r="N61" s="45"/>
      <x:c r="O61" s="48" t="str">
        <x:f>IF(B61="","",AVERAGE(IFERROR(VLOOKUP(D61,'Справочники'!$A$5:$B$14,2,FALSE),0),IFERROR(VLOOKUP(E61,'Справочники'!$D$5:$E$12,2,FALSE),0),IFERROR(VLOOKUP(F61,'Справочники'!$G$5:$H$12,2,FALSE),0),IFERROR(VLOOKUP(G61,'Справочники'!$J$5:$K$12,2,FALSE),0)))</x:f>
      </x:c>
      <x:c r="P61" s="36"/>
    </x:row>
    <x:row r="62" ht="44" customHeight="1">
      <x:c r="A62" s="39"/>
      <x:c r="B62" s="36"/>
      <x:c r="C62" s="36"/>
      <x:c r="D62" s="42"/>
      <x:c r="E62" s="42"/>
      <x:c r="F62" s="42"/>
      <x:c r="G62" s="42"/>
      <x:c r="H62" s="42"/>
      <x:c r="I62" s="42"/>
      <x:c r="J62" s="36"/>
      <x:c r="K62" s="36"/>
      <x:c r="L62" s="36"/>
      <x:c r="M62" s="36"/>
      <x:c r="N62" s="45"/>
      <x:c r="O62" s="48" t="str">
        <x:f>IF(B62="","",AVERAGE(IFERROR(VLOOKUP(D62,'Справочники'!$A$5:$B$14,2,FALSE),0),IFERROR(VLOOKUP(E62,'Справочники'!$D$5:$E$12,2,FALSE),0),IFERROR(VLOOKUP(F62,'Справочники'!$G$5:$H$12,2,FALSE),0),IFERROR(VLOOKUP(G62,'Справочники'!$J$5:$K$12,2,FALSE),0)))</x:f>
      </x:c>
      <x:c r="P62" s="36"/>
    </x:row>
    <x:row r="63" ht="44" customHeight="1">
      <x:c r="A63" s="39"/>
      <x:c r="B63" s="36"/>
      <x:c r="C63" s="36"/>
      <x:c r="D63" s="42"/>
      <x:c r="E63" s="42"/>
      <x:c r="F63" s="42"/>
      <x:c r="G63" s="42"/>
      <x:c r="H63" s="42"/>
      <x:c r="I63" s="42"/>
      <x:c r="J63" s="36"/>
      <x:c r="K63" s="36"/>
      <x:c r="L63" s="36"/>
      <x:c r="M63" s="36"/>
      <x:c r="N63" s="45"/>
      <x:c r="O63" s="48" t="str">
        <x:f>IF(B63="","",AVERAGE(IFERROR(VLOOKUP(D63,'Справочники'!$A$5:$B$14,2,FALSE),0),IFERROR(VLOOKUP(E63,'Справочники'!$D$5:$E$12,2,FALSE),0),IFERROR(VLOOKUP(F63,'Справочники'!$G$5:$H$12,2,FALSE),0),IFERROR(VLOOKUP(G63,'Справочники'!$J$5:$K$12,2,FALSE),0)))</x:f>
      </x:c>
      <x:c r="P63" s="36"/>
    </x:row>
    <x:row r="64" ht="44" customHeight="1">
      <x:c r="A64" s="39"/>
      <x:c r="B64" s="36"/>
      <x:c r="C64" s="36"/>
      <x:c r="D64" s="42"/>
      <x:c r="E64" s="42"/>
      <x:c r="F64" s="42"/>
      <x:c r="G64" s="42"/>
      <x:c r="H64" s="42"/>
      <x:c r="I64" s="42"/>
      <x:c r="J64" s="36"/>
      <x:c r="K64" s="36"/>
      <x:c r="L64" s="36"/>
      <x:c r="M64" s="36"/>
      <x:c r="N64" s="45"/>
      <x:c r="O64" s="48" t="str">
        <x:f>IF(B64="","",AVERAGE(IFERROR(VLOOKUP(D64,'Справочники'!$A$5:$B$14,2,FALSE),0),IFERROR(VLOOKUP(E64,'Справочники'!$D$5:$E$12,2,FALSE),0),IFERROR(VLOOKUP(F64,'Справочники'!$G$5:$H$12,2,FALSE),0),IFERROR(VLOOKUP(G64,'Справочники'!$J$5:$K$12,2,FALSE),0)))</x:f>
      </x:c>
      <x:c r="P64" s="36"/>
    </x:row>
    <x:row r="65" ht="44" customHeight="1">
      <x:c r="A65" s="39"/>
      <x:c r="B65" s="36"/>
      <x:c r="C65" s="36"/>
      <x:c r="D65" s="42"/>
      <x:c r="E65" s="42"/>
      <x:c r="F65" s="42"/>
      <x:c r="G65" s="42"/>
      <x:c r="H65" s="42"/>
      <x:c r="I65" s="42"/>
      <x:c r="J65" s="36"/>
      <x:c r="K65" s="36"/>
      <x:c r="L65" s="36"/>
      <x:c r="M65" s="36"/>
      <x:c r="N65" s="45"/>
      <x:c r="O65" s="48" t="str">
        <x:f>IF(B65="","",AVERAGE(IFERROR(VLOOKUP(D65,'Справочники'!$A$5:$B$14,2,FALSE),0),IFERROR(VLOOKUP(E65,'Справочники'!$D$5:$E$12,2,FALSE),0),IFERROR(VLOOKUP(F65,'Справочники'!$G$5:$H$12,2,FALSE),0),IFERROR(VLOOKUP(G65,'Справочники'!$J$5:$K$12,2,FALSE),0)))</x:f>
      </x:c>
      <x:c r="P65" s="36"/>
    </x:row>
    <x:row r="66" ht="44" customHeight="1">
      <x:c r="A66" s="39"/>
      <x:c r="B66" s="36"/>
      <x:c r="C66" s="36"/>
      <x:c r="D66" s="42"/>
      <x:c r="E66" s="42"/>
      <x:c r="F66" s="42"/>
      <x:c r="G66" s="42"/>
      <x:c r="H66" s="42"/>
      <x:c r="I66" s="42"/>
      <x:c r="J66" s="36"/>
      <x:c r="K66" s="36"/>
      <x:c r="L66" s="36"/>
      <x:c r="M66" s="36"/>
      <x:c r="N66" s="45"/>
      <x:c r="O66" s="48" t="str">
        <x:f>IF(B66="","",AVERAGE(IFERROR(VLOOKUP(D66,'Справочники'!$A$5:$B$14,2,FALSE),0),IFERROR(VLOOKUP(E66,'Справочники'!$D$5:$E$12,2,FALSE),0),IFERROR(VLOOKUP(F66,'Справочники'!$G$5:$H$12,2,FALSE),0),IFERROR(VLOOKUP(G66,'Справочники'!$J$5:$K$12,2,FALSE),0)))</x:f>
      </x:c>
      <x:c r="P66" s="36"/>
    </x:row>
    <x:row r="67" ht="44" customHeight="1">
      <x:c r="A67" s="39"/>
      <x:c r="B67" s="36"/>
      <x:c r="C67" s="36"/>
      <x:c r="D67" s="42"/>
      <x:c r="E67" s="42"/>
      <x:c r="F67" s="42"/>
      <x:c r="G67" s="42"/>
      <x:c r="H67" s="42"/>
      <x:c r="I67" s="42"/>
      <x:c r="J67" s="36"/>
      <x:c r="K67" s="36"/>
      <x:c r="L67" s="36"/>
      <x:c r="M67" s="36"/>
      <x:c r="N67" s="45"/>
      <x:c r="O67" s="48" t="str">
        <x:f>IF(B67="","",AVERAGE(IFERROR(VLOOKUP(D67,'Справочники'!$A$5:$B$14,2,FALSE),0),IFERROR(VLOOKUP(E67,'Справочники'!$D$5:$E$12,2,FALSE),0),IFERROR(VLOOKUP(F67,'Справочники'!$G$5:$H$12,2,FALSE),0),IFERROR(VLOOKUP(G67,'Справочники'!$J$5:$K$12,2,FALSE),0)))</x:f>
      </x:c>
      <x:c r="P67" s="36"/>
    </x:row>
    <x:row r="68" ht="44" customHeight="1">
      <x:c r="A68" s="39"/>
      <x:c r="B68" s="36"/>
      <x:c r="C68" s="36"/>
      <x:c r="D68" s="42"/>
      <x:c r="E68" s="42"/>
      <x:c r="F68" s="42"/>
      <x:c r="G68" s="42"/>
      <x:c r="H68" s="42"/>
      <x:c r="I68" s="42"/>
      <x:c r="J68" s="36"/>
      <x:c r="K68" s="36"/>
      <x:c r="L68" s="36"/>
      <x:c r="M68" s="36"/>
      <x:c r="N68" s="45"/>
      <x:c r="O68" s="48" t="str">
        <x:f>IF(B68="","",AVERAGE(IFERROR(VLOOKUP(D68,'Справочники'!$A$5:$B$14,2,FALSE),0),IFERROR(VLOOKUP(E68,'Справочники'!$D$5:$E$12,2,FALSE),0),IFERROR(VLOOKUP(F68,'Справочники'!$G$5:$H$12,2,FALSE),0),IFERROR(VLOOKUP(G68,'Справочники'!$J$5:$K$12,2,FALSE),0)))</x:f>
      </x:c>
      <x:c r="P68" s="36"/>
    </x:row>
    <x:row r="69" ht="44" customHeight="1">
      <x:c r="A69" s="39"/>
      <x:c r="B69" s="36"/>
      <x:c r="C69" s="36"/>
      <x:c r="D69" s="42"/>
      <x:c r="E69" s="42"/>
      <x:c r="F69" s="42"/>
      <x:c r="G69" s="42"/>
      <x:c r="H69" s="42"/>
      <x:c r="I69" s="42"/>
      <x:c r="J69" s="36"/>
      <x:c r="K69" s="36"/>
      <x:c r="L69" s="36"/>
      <x:c r="M69" s="36"/>
      <x:c r="N69" s="45"/>
      <x:c r="O69" s="48" t="str">
        <x:f>IF(B69="","",AVERAGE(IFERROR(VLOOKUP(D69,'Справочники'!$A$5:$B$14,2,FALSE),0),IFERROR(VLOOKUP(E69,'Справочники'!$D$5:$E$12,2,FALSE),0),IFERROR(VLOOKUP(F69,'Справочники'!$G$5:$H$12,2,FALSE),0),IFERROR(VLOOKUP(G69,'Справочники'!$J$5:$K$12,2,FALSE),0)))</x:f>
      </x:c>
      <x:c r="P69" s="36"/>
    </x:row>
    <x:row r="70" ht="44" customHeight="1">
      <x:c r="A70" s="39"/>
      <x:c r="B70" s="36"/>
      <x:c r="C70" s="36"/>
      <x:c r="D70" s="42"/>
      <x:c r="E70" s="42"/>
      <x:c r="F70" s="42"/>
      <x:c r="G70" s="42"/>
      <x:c r="H70" s="42"/>
      <x:c r="I70" s="42"/>
      <x:c r="J70" s="36"/>
      <x:c r="K70" s="36"/>
      <x:c r="L70" s="36"/>
      <x:c r="M70" s="36"/>
      <x:c r="N70" s="45"/>
      <x:c r="O70" s="48" t="str">
        <x:f>IF(B70="","",AVERAGE(IFERROR(VLOOKUP(D70,'Справочники'!$A$5:$B$14,2,FALSE),0),IFERROR(VLOOKUP(E70,'Справочники'!$D$5:$E$12,2,FALSE),0),IFERROR(VLOOKUP(F70,'Справочники'!$G$5:$H$12,2,FALSE),0),IFERROR(VLOOKUP(G70,'Справочники'!$J$5:$K$12,2,FALSE),0)))</x:f>
      </x:c>
      <x:c r="P70" s="36"/>
    </x:row>
    <x:row r="71" ht="44" customHeight="1">
      <x:c r="A71" s="39"/>
      <x:c r="B71" s="36"/>
      <x:c r="C71" s="36"/>
      <x:c r="D71" s="42"/>
      <x:c r="E71" s="42"/>
      <x:c r="F71" s="42"/>
      <x:c r="G71" s="42"/>
      <x:c r="H71" s="42"/>
      <x:c r="I71" s="42"/>
      <x:c r="J71" s="36"/>
      <x:c r="K71" s="36"/>
      <x:c r="L71" s="36"/>
      <x:c r="M71" s="36"/>
      <x:c r="N71" s="45"/>
      <x:c r="O71" s="48" t="str">
        <x:f>IF(B71="","",AVERAGE(IFERROR(VLOOKUP(D71,'Справочники'!$A$5:$B$14,2,FALSE),0),IFERROR(VLOOKUP(E71,'Справочники'!$D$5:$E$12,2,FALSE),0),IFERROR(VLOOKUP(F71,'Справочники'!$G$5:$H$12,2,FALSE),0),IFERROR(VLOOKUP(G71,'Справочники'!$J$5:$K$12,2,FALSE),0)))</x:f>
      </x:c>
      <x:c r="P71" s="36"/>
    </x:row>
    <x:row r="72" ht="44" customHeight="1">
      <x:c r="A72" s="39"/>
      <x:c r="B72" s="36"/>
      <x:c r="C72" s="36"/>
      <x:c r="D72" s="42"/>
      <x:c r="E72" s="42"/>
      <x:c r="F72" s="42"/>
      <x:c r="G72" s="42"/>
      <x:c r="H72" s="42"/>
      <x:c r="I72" s="42"/>
      <x:c r="J72" s="36"/>
      <x:c r="K72" s="36"/>
      <x:c r="L72" s="36"/>
      <x:c r="M72" s="36"/>
      <x:c r="N72" s="45"/>
      <x:c r="O72" s="48" t="str">
        <x:f>IF(B72="","",AVERAGE(IFERROR(VLOOKUP(D72,'Справочники'!$A$5:$B$14,2,FALSE),0),IFERROR(VLOOKUP(E72,'Справочники'!$D$5:$E$12,2,FALSE),0),IFERROR(VLOOKUP(F72,'Справочники'!$G$5:$H$12,2,FALSE),0),IFERROR(VLOOKUP(G72,'Справочники'!$J$5:$K$12,2,FALSE),0)))</x:f>
      </x:c>
      <x:c r="P72" s="36"/>
    </x:row>
    <x:row r="73" ht="44" customHeight="1">
      <x:c r="A73" s="39"/>
      <x:c r="B73" s="36"/>
      <x:c r="C73" s="36"/>
      <x:c r="D73" s="42"/>
      <x:c r="E73" s="42"/>
      <x:c r="F73" s="42"/>
      <x:c r="G73" s="42"/>
      <x:c r="H73" s="42"/>
      <x:c r="I73" s="42"/>
      <x:c r="J73" s="36"/>
      <x:c r="K73" s="36"/>
      <x:c r="L73" s="36"/>
      <x:c r="M73" s="36"/>
      <x:c r="N73" s="45"/>
      <x:c r="O73" s="48" t="str">
        <x:f>IF(B73="","",AVERAGE(IFERROR(VLOOKUP(D73,'Справочники'!$A$5:$B$14,2,FALSE),0),IFERROR(VLOOKUP(E73,'Справочники'!$D$5:$E$12,2,FALSE),0),IFERROR(VLOOKUP(F73,'Справочники'!$G$5:$H$12,2,FALSE),0),IFERROR(VLOOKUP(G73,'Справочники'!$J$5:$K$12,2,FALSE),0)))</x:f>
      </x:c>
      <x:c r="P73" s="36"/>
    </x:row>
    <x:row r="74" ht="44" customHeight="1">
      <x:c r="A74" s="39"/>
      <x:c r="B74" s="36"/>
      <x:c r="C74" s="36"/>
      <x:c r="D74" s="42"/>
      <x:c r="E74" s="42"/>
      <x:c r="F74" s="42"/>
      <x:c r="G74" s="42"/>
      <x:c r="H74" s="42"/>
      <x:c r="I74" s="42"/>
      <x:c r="J74" s="36"/>
      <x:c r="K74" s="36"/>
      <x:c r="L74" s="36"/>
      <x:c r="M74" s="36"/>
      <x:c r="N74" s="45"/>
      <x:c r="O74" s="48" t="str">
        <x:f>IF(B74="","",AVERAGE(IFERROR(VLOOKUP(D74,'Справочники'!$A$5:$B$14,2,FALSE),0),IFERROR(VLOOKUP(E74,'Справочники'!$D$5:$E$12,2,FALSE),0),IFERROR(VLOOKUP(F74,'Справочники'!$G$5:$H$12,2,FALSE),0),IFERROR(VLOOKUP(G74,'Справочники'!$J$5:$K$12,2,FALSE),0)))</x:f>
      </x:c>
      <x:c r="P74" s="36"/>
    </x:row>
    <x:row r="75" ht="44" customHeight="1">
      <x:c r="A75" s="40"/>
      <x:c r="B75" s="37"/>
      <x:c r="C75" s="37"/>
      <x:c r="D75" s="43"/>
      <x:c r="E75" s="43"/>
      <x:c r="F75" s="43"/>
      <x:c r="G75" s="43"/>
      <x:c r="H75" s="43"/>
      <x:c r="I75" s="43"/>
      <x:c r="J75" s="37"/>
      <x:c r="K75" s="37"/>
      <x:c r="L75" s="37"/>
      <x:c r="M75" s="37"/>
      <x:c r="N75" s="46"/>
      <x:c r="O75" s="49" t="str">
        <x:f>IF(B75="","",AVERAGE(IFERROR(VLOOKUP(D75,'Справочники'!$A$5:$B$14,2,FALSE),0),IFERROR(VLOOKUP(E75,'Справочники'!$D$5:$E$12,2,FALSE),0),IFERROR(VLOOKUP(F75,'Справочники'!$G$5:$H$12,2,FALSE),0),IFERROR(VLOOKUP(G75,'Справочники'!$J$5:$K$12,2,FALSE),0)))</x:f>
      </x:c>
      <x:c r="P75" s="37"/>
    </x:row>
  </x:sheetData>
  <x:mergeCells>
    <x:mergeCell ref="A1:P1"/>
    <x:mergeCell ref="A2:P2"/>
    <x:mergeCell ref="A3:B3"/>
    <x:mergeCell ref="C3:D3"/>
    <x:mergeCell ref="E3:F3"/>
    <x:mergeCell ref="G3:H3"/>
    <x:mergeCell ref="I3:J3"/>
    <x:mergeCell ref="K3:L3"/>
    <x:mergeCell ref="M3:N3"/>
    <x:mergeCell ref="O3:P3"/>
  </x:mergeCells>
  <x:conditionalFormatting sqref="D6:D75">
    <x:cfRule type="containsText" dxfId="240" priority="1" operator="containsText" text="Готово local/mock"/>
    <x:cfRule type="expression" dxfId="241" priority="2">
      <x:formula>$D6="Готово"</x:formula>
    </x:cfRule>
    <x:cfRule type="containsText" dxfId="242" priority="3" operator="containsText" text="Review"/>
    <x:cfRule type="containsText" dxfId="243" priority="4" operator="containsText" text="Draft"/>
    <x:cfRule type="containsText" dxfId="244" priority="5" operator="containsText" text="Отсутствует"/>
    <x:cfRule type="containsText" dxfId="245" priority="6" operator="containsText" text="В работе"/>
  </x:conditionalFormatting>
  <x:conditionalFormatting sqref="E6:E75">
    <x:cfRule type="containsText" dxfId="246" priority="7" operator="containsText" text="Accepted"/>
    <x:cfRule type="containsText" dxfId="247" priority="8" operator="containsText" text="Canonical"/>
    <x:cfRule type="containsText" dxfId="248" priority="9" operator="containsText" text="Approved"/>
    <x:cfRule type="containsText" dxfId="249" priority="10" operator="containsText" text="Review"/>
    <x:cfRule type="containsText" dxfId="250" priority="11" operator="containsText" text="Draft"/>
    <x:cfRule type="containsText" dxfId="251" priority="12" operator="containsText" text="Отсутствует"/>
  </x:conditionalFormatting>
  <x:conditionalFormatting sqref="F6:F75">
    <x:cfRule type="expression" dxfId="252" priority="13">
      <x:formula>$F6="Production"</x:formula>
    </x:cfRule>
    <x:cfRule type="expression" dxfId="253" priority="14">
      <x:formula>$F6="Local/mock"</x:formula>
    </x:cfRule>
    <x:cfRule type="expression" dxfId="254" priority="15">
      <x:formula>$F6="Pure domain"</x:formula>
    </x:cfRule>
    <x:cfRule type="expression" dxfId="255" priority="16">
      <x:formula>$F6="Отсутствует"</x:formula>
    </x:cfRule>
    <x:cfRule type="expression" dxfId="256" priority="17">
      <x:formula>$F6="Gated"</x:formula>
    </x:cfRule>
  </x:conditionalFormatting>
  <x:conditionalFormatting sqref="G6:G75">
    <x:cfRule type="containsText" dxfId="257" priority="18" operator="containsText" text="Текущие зелёные"/>
    <x:cfRule type="containsText" dxfId="258" priority="19" operator="containsText" text="Исторические зелёные"/>
    <x:cfRule type="containsText" dxfId="259" priority="20" operator="containsText" text="Device pending"/>
    <x:cfRule type="containsText" dxfId="260" priority="21" operator="containsText" text="Не запускались"/>
  </x:conditionalFormatting>
  <x:conditionalFormatting sqref="I6:I75">
    <x:cfRule type="containsText" dxfId="261" priority="22" operator="containsText" text="P0"/>
    <x:cfRule type="containsText" dxfId="262" priority="23" operator="containsText" text="P1"/>
    <x:cfRule type="containsText" dxfId="263" priority="24" operator="containsText" text="P2"/>
  </x:conditionalFormatting>
  <x:conditionalFormatting sqref="O6:O75">
    <x:cfRule type="dataBar" priority="25">
      <x:dataBar>
        <x:cfvo type="min"/>
        <x:cfvo type="max"/>
        <x:color rgb="FF2F6B5C"/>
      </x:dataBar>
      <x:extLst>
        <x:ext xmlns:x14="http://schemas.microsoft.com/office/spreadsheetml/2009/9/main" uri="{B025F937-C7B1-47D3-B67F-A62EFF666E3E}">
          <x14:id>{47330F9A-B93D-0665-63ED-85F25DF5CB2A}</x14:id>
        </x:ext>
      </x:extLst>
    </x:cfRule>
  </x:conditionalFormatting>
  <x:dataValidations count="5">
    <x:dataValidation type="list" sqref="D6:D75">
      <x:formula1>'Справочники'!$A$5:$A$14</x:formula1>
    </x:dataValidation>
    <x:dataValidation type="list" sqref="E6:E75">
      <x:formula1>'Справочники'!$D$5:$D$12</x:formula1>
    </x:dataValidation>
    <x:dataValidation type="list" sqref="F6:F75">
      <x:formula1>'Справочники'!$G$5:$G$12</x:formula1>
    </x:dataValidation>
    <x:dataValidation type="list" sqref="G6:G75">
      <x:formula1>'Справочники'!$J$5:$J$12</x:formula1>
    </x:dataValidation>
    <x:dataValidation type="list" sqref="I6:I75">
      <x:formula1>'Справочники'!$M$5:$M$9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d819fbfb4984ae7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5" id="{47330F9A-B93D-0665-63ED-85F25DF5CB2A}">
            <x14:dataBar gradient="1">
              <x14:cfvo type="min"/>
              <x14:cfvo type="max"/>
              <x14:fillColor rgb="FF2F6B5C"/>
            </x14:dataBar>
          </x14:cfRule>
          <xm:sqref>O6:O75</xm:sqref>
        </x14:conditionalFormatting>
      </x14:conditionalFormattings>
    </x:ext>
  </x:extLst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1" hidden="0" customWidth="1"/>
    <x:col min="3" max="3" width="20" hidden="0" customWidth="1"/>
    <x:col min="4" max="4" width="18" hidden="0" customWidth="1"/>
    <x:col min="5" max="5" width="20" hidden="0" customWidth="1"/>
    <x:col min="6" max="6" width="16" hidden="0" customWidth="1"/>
    <x:col min="7" max="7" width="20" hidden="0" customWidth="1"/>
    <x:col min="8" max="8" width="25" hidden="0" customWidth="1"/>
    <x:col min="9" max="9" width="11" hidden="0" customWidth="1"/>
    <x:col min="10" max="10" width="40" hidden="0" customWidth="1"/>
    <x:col min="11" max="11" width="28" hidden="0" customWidth="1"/>
    <x:col min="12" max="12" width="20" hidden="0" customWidth="1"/>
    <x:col min="13" max="13" width="48" hidden="0" customWidth="1"/>
    <x:col min="14" max="14" width="14" hidden="0" customWidth="1"/>
    <x:col min="15" max="15" width="13" hidden="0" customWidth="1"/>
    <x:col min="16" max="16" width="34" hidden="0" customWidth="1"/>
  </x:cols>
  <x:sheetData>
    <x:row r="1" ht="38" customHeight="1">
      <x:c r="A1" s="3" t="str">
        <x:v>TESTING &amp; CI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2" customHeight="1">
      <x:c r="A2" s="7" t="str">
        <x:v>Governance layer · Workflows, tests, boundary checks, current gates and device acceptance.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3">
      <x:c r="A3" s="12" t="e">
        <x:f>HYPERLINK("#'Паук'!A1","← Вернуться к пауку")</x:f>
        <x:v>HYPERLINK is not implemented. linkLocation=#'Паук'!A1, friendlyName=← Вернуться к пауку</x:v>
      </x:c>
      <x:c r="B3" s="12"/>
      <x:c r="C3" t="str">
        <x:v>Прогресс</x:v>
      </x:c>
      <x:c r="E3" s="15" t="n">
        <x:f>IFERROR(SUM(O6:O75)/COUNTA(B6:B75),0)</x:f>
        <x:v>0.6508333333333334</x:v>
      </x:c>
      <x:c r="F3" s="15"/>
      <x:c r="G3" t="str">
        <x:v>Открытые P0/P1</x:v>
      </x:c>
      <x:c r="I3" s="18" t="n">
        <x:f>COUNTIFS(I6:I75,"P0",O6:O75,"&lt;1")+COUNTIFS(I6:I75,"P1",O6:O75,"&lt;1")</x:f>
        <x:v>15</x:v>
      </x:c>
      <x:c r="J3" s="18"/>
      <x:c r="K3" t="str">
        <x:v>Runtime отсутствует</x:v>
      </x:c>
      <x:c r="M3" s="21" t="n">
        <x:f>COUNTIF(F6:F75,"Отсутствует")</x:f>
        <x:v>2</x:v>
      </x:c>
      <x:c r="N3" s="21"/>
      <x:c r="O3" s="24" t="e">
        <x:f>HYPERLINK("#'Реестр файлов'!A1","Реестр файлов →")</x:f>
        <x:v>HYPERLINK is not implemented. linkLocation=#'Реестр файлов'!A1, friendlyName=Реестр файлов →</x:v>
      </x:c>
      <x:c r="P3" s="24"/>
    </x:row>
    <x:row r="5">
      <x:c r="A5" s="27" t="str">
        <x:v>ID</x:v>
      </x:c>
      <x:c r="B5" s="27" t="str">
        <x:v>Подсистема / deliverable</x:v>
      </x:c>
      <x:c r="C5" s="27" t="str">
        <x:v>Тип</x:v>
      </x:c>
      <x:c r="D5" s="27" t="str">
        <x:v>Артефакт</x:v>
      </x:c>
      <x:c r="E5" s="27" t="str">
        <x:v>Документация</x:v>
      </x:c>
      <x:c r="F5" s="27" t="str">
        <x:v>Runtime</x:v>
      </x:c>
      <x:c r="G5" s="27" t="str">
        <x:v>Проверки</x:v>
      </x:c>
      <x:c r="H5" s="27" t="str">
        <x:v>Gate / authority</x:v>
      </x:c>
      <x:c r="I5" s="27" t="str">
        <x:v>Приоритет</x:v>
      </x:c>
      <x:c r="J5" s="27" t="str">
        <x:v>Следующее действие</x:v>
      </x:c>
      <x:c r="K5" s="27" t="str">
        <x:v>Блокер</x:v>
      </x:c>
      <x:c r="L5" s="27" t="str">
        <x:v>Owner</x:v>
      </x:c>
      <x:c r="M5" s="27" t="str">
        <x:v>Источник / путь</x:v>
      </x:c>
      <x:c r="N5" s="27" t="str">
        <x:v>Обновлено</x:v>
      </x:c>
      <x:c r="O5" s="27" t="str">
        <x:v>Готовность</x:v>
      </x:c>
      <x:c r="P5" s="27" t="str">
        <x:v>Комментарий</x:v>
      </x:c>
    </x:row>
    <x:row r="6" ht="44" customHeight="1">
      <x:c r="A6" s="38" t="str">
        <x:v>TEST-01</x:v>
      </x:c>
      <x:c r="B6" s="35" t="str">
        <x:v>mobile-ci.yml</x:v>
      </x:c>
      <x:c r="C6" s="35" t="str">
        <x:v>CI workflow</x:v>
      </x:c>
      <x:c r="D6" s="41" t="str">
        <x:v>Готово</x:v>
      </x:c>
      <x:c r="E6" s="41" t="str">
        <x:v>Approved</x:v>
      </x:c>
      <x:c r="F6" s="41" t="str">
        <x:v>Не требуется</x:v>
      </x:c>
      <x:c r="G6" s="41" t="str">
        <x:v>Исторические зелёные</x:v>
      </x:c>
      <x:c r="H6" s="41" t="str">
        <x:v>Blocking CI</x:v>
      </x:c>
      <x:c r="I6" s="41" t="str">
        <x:v>P0</x:v>
      </x:c>
      <x:c r="J6" s="35" t="str">
        <x:v>Подтвердить current branch run</x:v>
      </x:c>
      <x:c r="K6" s="35" t="str">
        <x:v>Current tree dirty</x:v>
      </x:c>
      <x:c r="L6" s="35" t="str">
        <x:v>Mobile CI</x:v>
      </x:c>
      <x:c r="M6" s="35" t="str">
        <x:v>.github/workflows/mobile-ci.yml</x:v>
      </x:c>
      <x:c r="N6" s="44" t="n">
        <x:v>46250</x:v>
      </x:c>
      <x:c r="O6" s="47" t="n">
        <x:f>IF(B6="","",AVERAGE(IFERROR(VLOOKUP(D6,'Справочники'!$A$5:$B$14,2,FALSE),0),IFERROR(VLOOKUP(E6,'Справочники'!$D$5:$E$12,2,FALSE),0),IFERROR(VLOOKUP(F6,'Справочники'!$G$5:$H$12,2,FALSE),0),IFERROR(VLOOKUP(G6,'Справочники'!$J$5:$K$12,2,FALSE),0)))</x:f>
        <x:v>0.8999999999999999</x:v>
      </x:c>
      <x:c r="P6" s="35" t="str"/>
    </x:row>
    <x:row r="7" ht="44" customHeight="1">
      <x:c r="A7" s="39" t="str">
        <x:v>TEST-02</x:v>
      </x:c>
      <x:c r="B7" s="36" t="str">
        <x:v>mobile-tests.yml</x:v>
      </x:c>
      <x:c r="C7" s="36" t="str">
        <x:v>CI workflow</x:v>
      </x:c>
      <x:c r="D7" s="42" t="str">
        <x:v>Готово</x:v>
      </x:c>
      <x:c r="E7" s="42" t="str">
        <x:v>Approved</x:v>
      </x:c>
      <x:c r="F7" s="42" t="str">
        <x:v>Не требуется</x:v>
      </x:c>
      <x:c r="G7" s="42" t="str">
        <x:v>Исторические зелёные</x:v>
      </x:c>
      <x:c r="H7" s="42" t="str">
        <x:v>Blocking CI</x:v>
      </x:c>
      <x:c r="I7" s="42" t="str">
        <x:v>P0</x:v>
      </x:c>
      <x:c r="J7" s="36" t="str">
        <x:v>Подтвердить current branch run</x:v>
      </x:c>
      <x:c r="K7" s="36" t="str">
        <x:v>Current tree dirty</x:v>
      </x:c>
      <x:c r="L7" s="36" t="str">
        <x:v>Mobile CI</x:v>
      </x:c>
      <x:c r="M7" s="36" t="str">
        <x:v>.github/workflows/mobile-tests.yml</x:v>
      </x:c>
      <x:c r="N7" s="45" t="n">
        <x:v>46250</x:v>
      </x:c>
      <x:c r="O7" s="48" t="n">
        <x:f>IF(B7="","",AVERAGE(IFERROR(VLOOKUP(D7,'Справочники'!$A$5:$B$14,2,FALSE),0),IFERROR(VLOOKUP(E7,'Справочники'!$D$5:$E$12,2,FALSE),0),IFERROR(VLOOKUP(F7,'Справочники'!$G$5:$H$12,2,FALSE),0),IFERROR(VLOOKUP(G7,'Справочники'!$J$5:$K$12,2,FALSE),0)))</x:f>
        <x:v>0.8999999999999999</x:v>
      </x:c>
      <x:c r="P7" s="36" t="str"/>
    </x:row>
    <x:row r="8" ht="44" customHeight="1">
      <x:c r="A8" s="39" t="str">
        <x:v>TEST-03</x:v>
      </x:c>
      <x:c r="B8" s="36" t="str">
        <x:v>codegen-check.yml</x:v>
      </x:c>
      <x:c r="C8" s="36" t="str">
        <x:v>CI workflow</x:v>
      </x:c>
      <x:c r="D8" s="42" t="str">
        <x:v>Готово</x:v>
      </x:c>
      <x:c r="E8" s="42" t="str">
        <x:v>Approved</x:v>
      </x:c>
      <x:c r="F8" s="42" t="str">
        <x:v>Не требуется</x:v>
      </x:c>
      <x:c r="G8" s="42" t="str">
        <x:v>Исторические зелёные</x:v>
      </x:c>
      <x:c r="H8" s="42" t="str">
        <x:v>Blocking CI</x:v>
      </x:c>
      <x:c r="I8" s="42" t="str">
        <x:v>P1</x:v>
      </x:c>
      <x:c r="J8" s="36" t="str">
        <x:v>Расширить при новых generated contracts</x:v>
      </x:c>
      <x:c r="K8" s="36" t="str"/>
      <x:c r="L8" s="36" t="str">
        <x:v>API/Mobile CI</x:v>
      </x:c>
      <x:c r="M8" s="36" t="str">
        <x:v>.github/workflows/codegen-check.yml</x:v>
      </x:c>
      <x:c r="N8" s="45" t="n">
        <x:v>46250</x:v>
      </x:c>
      <x:c r="O8" s="48" t="n">
        <x:f>IF(B8="","",AVERAGE(IFERROR(VLOOKUP(D8,'Справочники'!$A$5:$B$14,2,FALSE),0),IFERROR(VLOOKUP(E8,'Справочники'!$D$5:$E$12,2,FALSE),0),IFERROR(VLOOKUP(F8,'Справочники'!$G$5:$H$12,2,FALSE),0),IFERROR(VLOOKUP(G8,'Справочники'!$J$5:$K$12,2,FALSE),0)))</x:f>
        <x:v>0.8999999999999999</x:v>
      </x:c>
      <x:c r="P8" s="36" t="str"/>
    </x:row>
    <x:row r="9" ht="44" customHeight="1">
      <x:c r="A9" s="39" t="str">
        <x:v>TEST-04</x:v>
      </x:c>
      <x:c r="B9" s="36" t="str">
        <x:v>Boundary checker</x:v>
      </x:c>
      <x:c r="C9" s="36" t="str">
        <x:v>Tooling</x:v>
      </x:c>
      <x:c r="D9" s="42" t="str">
        <x:v>Готово</x:v>
      </x:c>
      <x:c r="E9" s="42" t="str">
        <x:v>Approved</x:v>
      </x:c>
      <x:c r="F9" s="42" t="str">
        <x:v>Local/mock</x:v>
      </x:c>
      <x:c r="G9" s="42" t="str">
        <x:v>Текущие зелёные</x:v>
      </x:c>
      <x:c r="H9" s="42" t="str">
        <x:v>59 existing suppressions</x:v>
      </x:c>
      <x:c r="I9" s="42" t="str">
        <x:v>P0</x:v>
      </x:c>
      <x:c r="J9" s="36" t="str">
        <x:v>Не добавлять новые suppressions</x:v>
      </x:c>
      <x:c r="K9" s="36" t="str">
        <x:v>Legacy allowlist</x:v>
      </x:c>
      <x:c r="L9" s="36" t="str">
        <x:v>Architecture</x:v>
      </x:c>
      <x:c r="M9" s="36" t="str">
        <x:v>tools/scripts/check-boundaries.ps1</x:v>
      </x:c>
      <x:c r="N9" s="45" t="n">
        <x:v>46250.5</x:v>
      </x:c>
      <x:c r="O9" s="48" t="n">
        <x:f>IF(B9="","",AVERAGE(IFERROR(VLOOKUP(D9,'Справочники'!$A$5:$B$14,2,FALSE),0),IFERROR(VLOOKUP(E9,'Справочники'!$D$5:$E$12,2,FALSE),0),IFERROR(VLOOKUP(F9,'Справочники'!$G$5:$H$12,2,FALSE),0),IFERROR(VLOOKUP(G9,'Справочники'!$J$5:$K$12,2,FALSE),0)))</x:f>
        <x:v>0.8625</x:v>
      </x:c>
      <x:c r="P9" s="36" t="str">
        <x:v>2026-08-16 audit: passed; 59 existing allowlist suppressions</x:v>
      </x:c>
    </x:row>
    <x:row r="10" ht="44" customHeight="1">
      <x:c r="A10" s="39" t="str">
        <x:v>TEST-05</x:v>
      </x:c>
      <x:c r="B10" s="36" t="str">
        <x:v>Flutter analyzer</x:v>
      </x:c>
      <x:c r="C10" s="36" t="str">
        <x:v>Quality gate</x:v>
      </x:c>
      <x:c r="D10" s="42" t="str">
        <x:v>Review</x:v>
      </x:c>
      <x:c r="E10" s="42" t="str">
        <x:v>Approved</x:v>
      </x:c>
      <x:c r="F10" s="42" t="str">
        <x:v>Local/mock</x:v>
      </x:c>
      <x:c r="G10" s="42" t="str">
        <x:v>Заблокированы</x:v>
      </x:c>
      <x:c r="H10" s="42" t="str">
        <x:v>Required every slice</x:v>
      </x:c>
      <x:c r="I10" s="42" t="str">
        <x:v>P0</x:v>
      </x:c>
      <x:c r="J10" s="36" t="str">
        <x:v>Rerun analyzer with stable SDK/process diagnostics</x:v>
      </x:c>
      <x:c r="K10" s="36" t="str">
        <x:v>2026-08-16 attempt produced no result and was stopped</x:v>
      </x:c>
      <x:c r="L10" s="36" t="str">
        <x:v>Mobile QA</x:v>
      </x:c>
      <x:c r="M10" s="36" t="str">
        <x:v>apps/mobile</x:v>
      </x:c>
      <x:c r="N10" s="45" t="n">
        <x:v>46250.5</x:v>
      </x:c>
      <x:c r="O10" s="48" t="n">
        <x:f>IF(B10="","",AVERAGE(IFERROR(VLOOKUP(D10,'Справочники'!$A$5:$B$14,2,FALSE),0),IFERROR(VLOOKUP(E10,'Справочники'!$D$5:$E$12,2,FALSE),0),IFERROR(VLOOKUP(F10,'Справочники'!$G$5:$H$12,2,FALSE),0),IFERROR(VLOOKUP(G10,'Справочники'!$J$5:$K$12,2,FALSE),0)))</x:f>
        <x:v>0.5750000000000001</x:v>
      </x:c>
      <x:c r="P10" s="36" t="str">
        <x:v>Current analyzer result is inconclusive, not green</x:v>
      </x:c>
    </x:row>
    <x:row r="11" ht="44" customHeight="1">
      <x:c r="A11" s="39" t="str">
        <x:v>TEST-06</x:v>
      </x:c>
      <x:c r="B11" s="36" t="str">
        <x:v>Full Flutter suite</x:v>
      </x:c>
      <x:c r="C11" s="36" t="str">
        <x:v>Quality gate</x:v>
      </x:c>
      <x:c r="D11" s="42" t="str">
        <x:v>Review</x:v>
      </x:c>
      <x:c r="E11" s="42" t="str">
        <x:v>Approved</x:v>
      </x:c>
      <x:c r="F11" s="42" t="str">
        <x:v>Local/mock</x:v>
      </x:c>
      <x:c r="G11" s="42" t="str">
        <x:v>Не запускались</x:v>
      </x:c>
      <x:c r="H11" s="42" t="str">
        <x:v>Required every slice</x:v>
      </x:c>
      <x:c r="I11" s="42" t="str">
        <x:v>P0</x:v>
      </x:c>
      <x:c r="J11" s="36" t="str">
        <x:v>Run current full sequential suite after analyzer</x:v>
      </x:c>
      <x:c r="K11" s="36" t="str">
        <x:v>Dirty tree; analyzer inconclusive</x:v>
      </x:c>
      <x:c r="L11" s="36" t="str">
        <x:v>Mobile QA</x:v>
      </x:c>
      <x:c r="M11" s="36" t="str">
        <x:v>apps/mobile/test</x:v>
      </x:c>
      <x:c r="N11" s="45" t="n">
        <x:v>46250.5</x:v>
      </x:c>
      <x:c r="O11" s="48" t="n">
        <x:f>IF(B11="","",AVERAGE(IFERROR(VLOOKUP(D11,'Справочники'!$A$5:$B$14,2,FALSE),0),IFERROR(VLOOKUP(E11,'Справочники'!$D$5:$E$12,2,FALSE),0),IFERROR(VLOOKUP(F11,'Справочники'!$G$5:$H$12,2,FALSE),0),IFERROR(VLOOKUP(G11,'Справочники'!$J$5:$K$12,2,FALSE),0)))</x:f>
        <x:v>0.5375000000000001</x:v>
      </x:c>
      <x:c r="P11" s="36" t="str">
        <x:v>Historical green result is not a current full-suite proof</x:v>
      </x:c>
    </x:row>
    <x:row r="12" ht="44" customHeight="1">
      <x:c r="A12" s="39" t="str">
        <x:v>TEST-07</x:v>
      </x:c>
      <x:c r="B12" s="36" t="str">
        <x:v>Unit tests (102 files)</x:v>
      </x:c>
      <x:c r="C12" s="36" t="str">
        <x:v>Test inventory</x:v>
      </x:c>
      <x:c r="D12" s="42" t="str">
        <x:v>Готово local/mock</x:v>
      </x:c>
      <x:c r="E12" s="42" t="str">
        <x:v>Approved</x:v>
      </x:c>
      <x:c r="F12" s="42" t="str">
        <x:v>Local/mock</x:v>
      </x:c>
      <x:c r="G12" s="42" t="str">
        <x:v>Исторические зелёные</x:v>
      </x:c>
      <x:c r="H12" s="42" t="str">
        <x:v>Feature gates</x:v>
      </x:c>
      <x:c r="I12" s="42" t="str">
        <x:v>P1</x:v>
      </x:c>
      <x:c r="J12" s="36" t="str">
        <x:v>Поддерживать typed domain coverage</x:v>
      </x:c>
      <x:c r="K12" s="36" t="str"/>
      <x:c r="L12" s="36" t="str">
        <x:v>Mobile QA</x:v>
      </x:c>
      <x:c r="M12" s="36" t="str">
        <x:v>apps/mobile/test/unit</x:v>
      </x:c>
      <x:c r="N12" s="45" t="n">
        <x:v>46250</x:v>
      </x:c>
      <x:c r="O12" s="48" t="n">
        <x:f>IF(B12="","",AVERAGE(IFERROR(VLOOKUP(D12,'Справочники'!$A$5:$B$14,2,FALSE),0),IFERROR(VLOOKUP(E12,'Справочники'!$D$5:$E$12,2,FALSE),0),IFERROR(VLOOKUP(F12,'Справочники'!$G$5:$H$12,2,FALSE),0),IFERROR(VLOOKUP(G12,'Справочники'!$J$5:$K$12,2,FALSE),0)))</x:f>
        <x:v>0.7375</x:v>
      </x:c>
      <x:c r="P12" s="36" t="str"/>
    </x:row>
    <x:row r="13" ht="44" customHeight="1">
      <x:c r="A13" s="39" t="str">
        <x:v>TEST-08</x:v>
      </x:c>
      <x:c r="B13" s="36" t="str">
        <x:v>Widget tests (33 files)</x:v>
      </x:c>
      <x:c r="C13" s="36" t="str">
        <x:v>Test inventory</x:v>
      </x:c>
      <x:c r="D13" s="42" t="str">
        <x:v>Готово local/mock</x:v>
      </x:c>
      <x:c r="E13" s="42" t="str">
        <x:v>Approved</x:v>
      </x:c>
      <x:c r="F13" s="42" t="str">
        <x:v>Local/mock</x:v>
      </x:c>
      <x:c r="G13" s="42" t="str">
        <x:v>Исторические зелёные</x:v>
      </x:c>
      <x:c r="H13" s="42" t="str">
        <x:v>UI gates</x:v>
      </x:c>
      <x:c r="I13" s="42" t="str">
        <x:v>P1</x:v>
      </x:c>
      <x:c r="J13" s="36" t="str">
        <x:v>360dp / 150% accessibility regressions</x:v>
      </x:c>
      <x:c r="K13" s="36" t="str"/>
      <x:c r="L13" s="36" t="str">
        <x:v>Mobile QA</x:v>
      </x:c>
      <x:c r="M13" s="36" t="str">
        <x:v>apps/mobile/test/widget</x:v>
      </x:c>
      <x:c r="N13" s="45" t="n">
        <x:v>46250</x:v>
      </x:c>
      <x:c r="O13" s="48" t="n">
        <x:f>IF(B13="","",AVERAGE(IFERROR(VLOOKUP(D13,'Справочники'!$A$5:$B$14,2,FALSE),0),IFERROR(VLOOKUP(E13,'Справочники'!$D$5:$E$12,2,FALSE),0),IFERROR(VLOOKUP(F13,'Справочники'!$G$5:$H$12,2,FALSE),0),IFERROR(VLOOKUP(G13,'Справочники'!$J$5:$K$12,2,FALSE),0)))</x:f>
        <x:v>0.7375</x:v>
      </x:c>
      <x:c r="P13" s="36" t="str"/>
    </x:row>
    <x:row r="14" ht="44" customHeight="1">
      <x:c r="A14" s="39" t="str">
        <x:v>TEST-09</x:v>
      </x:c>
      <x:c r="B14" s="36" t="str">
        <x:v>Integration tests (1 files)</x:v>
      </x:c>
      <x:c r="C14" s="36" t="str">
        <x:v>Test inventory</x:v>
      </x:c>
      <x:c r="D14" s="42" t="str">
        <x:v>Частично</x:v>
      </x:c>
      <x:c r="E14" s="42" t="str">
        <x:v>Approved</x:v>
      </x:c>
      <x:c r="F14" s="42" t="str">
        <x:v>Local/mock</x:v>
      </x:c>
      <x:c r="G14" s="42" t="str">
        <x:v>Частично</x:v>
      </x:c>
      <x:c r="H14" s="42" t="str">
        <x:v>Critical flows</x:v>
      </x:c>
      <x:c r="I14" s="42" t="str">
        <x:v>P1</x:v>
      </x:c>
      <x:c r="J14" s="36" t="str">
        <x:v>Расширить auth/create/route/booking flows</x:v>
      </x:c>
      <x:c r="K14" s="36" t="str">
        <x:v>Backend absent</x:v>
      </x:c>
      <x:c r="L14" s="36" t="str">
        <x:v>Mobile QA</x:v>
      </x:c>
      <x:c r="M14" s="36" t="str">
        <x:v>apps/mobile/integration_test</x:v>
      </x:c>
      <x:c r="N14" s="45" t="n">
        <x:v>46250</x:v>
      </x:c>
      <x:c r="O14" s="48" t="n">
        <x:f>IF(B14="","",AVERAGE(IFERROR(VLOOKUP(D14,'Справочники'!$A$5:$B$14,2,FALSE),0),IFERROR(VLOOKUP(E14,'Справочники'!$D$5:$E$12,2,FALSE),0),IFERROR(VLOOKUP(F14,'Справочники'!$G$5:$H$12,2,FALSE),0),IFERROR(VLOOKUP(G14,'Справочники'!$J$5:$K$12,2,FALSE),0)))</x:f>
        <x:v>0.5875</x:v>
      </x:c>
      <x:c r="P14" s="36" t="str"/>
    </x:row>
    <x:row r="15" ht="44" customHeight="1">
      <x:c r="A15" s="39" t="str">
        <x:v>TEST-10</x:v>
      </x:c>
      <x:c r="B15" s="36" t="str">
        <x:v>API contract tests (3 files)</x:v>
      </x:c>
      <x:c r="C15" s="36" t="str">
        <x:v>Test inventory</x:v>
      </x:c>
      <x:c r="D15" s="42" t="str">
        <x:v>Готово local/mock</x:v>
      </x:c>
      <x:c r="E15" s="42" t="str">
        <x:v>Approved</x:v>
      </x:c>
      <x:c r="F15" s="42" t="str">
        <x:v>Pure domain</x:v>
      </x:c>
      <x:c r="G15" s="42" t="str">
        <x:v>Исторические зелёные</x:v>
      </x:c>
      <x:c r="H15" s="42" t="str">
        <x:v>Booking v1</x:v>
      </x:c>
      <x:c r="I15" s="42" t="str">
        <x:v>P0</x:v>
      </x:c>
      <x:c r="J15" s="36" t="str">
        <x:v>Добавлять с каждым schema domain</x:v>
      </x:c>
      <x:c r="K15" s="36" t="str"/>
      <x:c r="L15" s="36" t="str">
        <x:v>API Platform</x:v>
      </x:c>
      <x:c r="M15" s="36" t="str">
        <x:v>packages/api_contracts/test</x:v>
      </x:c>
      <x:c r="N15" s="45" t="n">
        <x:v>46250</x:v>
      </x:c>
      <x:c r="O15" s="48" t="n">
        <x:f>IF(B15="","",AVERAGE(IFERROR(VLOOKUP(D15,'Справочники'!$A$5:$B$14,2,FALSE),0),IFERROR(VLOOKUP(E15,'Справочники'!$D$5:$E$12,2,FALSE),0),IFERROR(VLOOKUP(F15,'Справочники'!$G$5:$H$12,2,FALSE),0),IFERROR(VLOOKUP(G15,'Справочники'!$J$5:$K$12,2,FALSE),0)))</x:f>
        <x:v>0.7</x:v>
      </x:c>
      <x:c r="P15" s="36" t="str"/>
    </x:row>
    <x:row r="16" ht="44" customHeight="1">
      <x:c r="A16" s="39" t="str">
        <x:v>TEST-11</x:v>
      </x:c>
      <x:c r="B16" s="36" t="str">
        <x:v>Backend emulator tests</x:v>
      </x:c>
      <x:c r="C16" s="36" t="str">
        <x:v>Test gap</x:v>
      </x:c>
      <x:c r="D16" s="42" t="str">
        <x:v>Отсутствует</x:v>
      </x:c>
      <x:c r="E16" s="42" t="str">
        <x:v>Draft</x:v>
      </x:c>
      <x:c r="F16" s="42" t="str">
        <x:v>Отсутствует</x:v>
      </x:c>
      <x:c r="G16" s="42" t="str">
        <x:v>Не запускались</x:v>
      </x:c>
      <x:c r="H16" s="42" t="str">
        <x:v>R0/G4</x:v>
      </x:c>
      <x:c r="I16" s="42" t="str">
        <x:v>P0</x:v>
      </x:c>
      <x:c r="J16" s="36" t="str">
        <x:v>Создать после backend authorization</x:v>
      </x:c>
      <x:c r="K16" s="36" t="str">
        <x:v>apps/backend absent</x:v>
      </x:c>
      <x:c r="L16" s="36" t="str">
        <x:v>Backend QA</x:v>
      </x:c>
      <x:c r="M16" s="36" t="str">
        <x:v>apps/backend/test</x:v>
      </x:c>
      <x:c r="N16" s="45"/>
      <x:c r="O16" s="48" t="n">
        <x:f>IF(B16="","",AVERAGE(IFERROR(VLOOKUP(D16,'Справочники'!$A$5:$B$14,2,FALSE),0),IFERROR(VLOOKUP(E16,'Справочники'!$D$5:$E$12,2,FALSE),0),IFERROR(VLOOKUP(F16,'Справочники'!$G$5:$H$12,2,FALSE),0),IFERROR(VLOOKUP(G16,'Справочники'!$J$5:$K$12,2,FALSE),0)))</x:f>
        <x:v>0.0625</x:v>
      </x:c>
      <x:c r="P16" s="36" t="str"/>
    </x:row>
    <x:row r="17" ht="44" customHeight="1">
      <x:c r="A17" s="39" t="str">
        <x:v>TEST-12</x:v>
      </x:c>
      <x:c r="B17" s="36" t="str">
        <x:v>Security negative tests</x:v>
      </x:c>
      <x:c r="C17" s="36" t="str">
        <x:v>Test gap</x:v>
      </x:c>
      <x:c r="D17" s="42" t="str">
        <x:v>План</x:v>
      </x:c>
      <x:c r="E17" s="42" t="str">
        <x:v>Draft</x:v>
      </x:c>
      <x:c r="F17" s="42" t="str">
        <x:v>Отсутствует</x:v>
      </x:c>
      <x:c r="G17" s="42" t="str">
        <x:v>Не запускались</x:v>
      </x:c>
      <x:c r="H17" s="42" t="str">
        <x:v>G2–G5</x:v>
      </x:c>
      <x:c r="I17" s="42" t="str">
        <x:v>P0</x:v>
      </x:c>
      <x:c r="J17" s="36" t="str">
        <x:v>Rules/IAM/AuthZ/App Check abuse matrix</x:v>
      </x:c>
      <x:c r="K17" s="36" t="str">
        <x:v>BCK-04 runtime absent</x:v>
      </x:c>
      <x:c r="L17" s="36" t="str">
        <x:v>Security QA</x:v>
      </x:c>
      <x:c r="M17" s="36" t="str">
        <x:v>docs/product/BACKEND_SECURITY_PRIVACY_SPEC.md</x:v>
      </x:c>
      <x:c r="N17" s="45"/>
      <x:c r="O17" s="48" t="n">
        <x:f>IF(B17="","",AVERAGE(IFERROR(VLOOKUP(D17,'Справочники'!$A$5:$B$14,2,FALSE),0),IFERROR(VLOOKUP(E17,'Справочники'!$D$5:$E$12,2,FALSE),0),IFERROR(VLOOKUP(F17,'Справочники'!$G$5:$H$12,2,FALSE),0),IFERROR(VLOOKUP(G17,'Справочники'!$J$5:$K$12,2,FALSE),0)))</x:f>
        <x:v>0.0875</x:v>
      </x:c>
      <x:c r="P17" s="36" t="str"/>
    </x:row>
    <x:row r="18" ht="44" customHeight="1">
      <x:c r="A18" s="39" t="str">
        <x:v>TEST-13</x:v>
      </x:c>
      <x:c r="B18" s="36" t="str">
        <x:v>Real-device Route GPS</x:v>
      </x:c>
      <x:c r="C18" s="36" t="str">
        <x:v>Device gate</x:v>
      </x:c>
      <x:c r="D18" s="42" t="str">
        <x:v>Review</x:v>
      </x:c>
      <x:c r="E18" s="42" t="str">
        <x:v>Approved</x:v>
      </x:c>
      <x:c r="F18" s="42" t="str">
        <x:v>Local/mock</x:v>
      </x:c>
      <x:c r="G18" s="42" t="str">
        <x:v>Device pending</x:v>
      </x:c>
      <x:c r="H18" s="42" t="str">
        <x:v>RTE-11</x:v>
      </x:c>
      <x:c r="I18" s="42" t="str">
        <x:v>P0</x:v>
      </x:c>
      <x:c r="J18" s="36" t="str">
        <x:v>Android/iOS lock/revoke/restart/battery</x:v>
      </x:c>
      <x:c r="K18" s="36" t="str">
        <x:v>Real devices</x:v>
      </x:c>
      <x:c r="L18" s="36" t="str">
        <x:v>Route QA</x:v>
      </x:c>
      <x:c r="M18" s="36" t="str">
        <x:v>docs/product/ROUTE_IMPLEMENTATION_ROADMAP.md</x:v>
      </x:c>
      <x:c r="N18" s="45"/>
      <x:c r="O18" s="48" t="n">
        <x:f>IF(B18="","",AVERAGE(IFERROR(VLOOKUP(D18,'Справочники'!$A$5:$B$14,2,FALSE),0),IFERROR(VLOOKUP(E18,'Справочники'!$D$5:$E$12,2,FALSE),0),IFERROR(VLOOKUP(F18,'Справочники'!$G$5:$H$12,2,FALSE),0),IFERROR(VLOOKUP(G18,'Справочники'!$J$5:$K$12,2,FALSE),0)))</x:f>
        <x:v>0.6250000000000001</x:v>
      </x:c>
      <x:c r="P18" s="36" t="str"/>
    </x:row>
    <x:row r="19" ht="44" customHeight="1">
      <x:c r="A19" s="39" t="str">
        <x:v>TEST-14</x:v>
      </x:c>
      <x:c r="B19" s="36" t="str">
        <x:v>git diff --check / whitespace</x:v>
      </x:c>
      <x:c r="C19" s="36" t="str">
        <x:v>Quality gate</x:v>
      </x:c>
      <x:c r="D19" s="42" t="str">
        <x:v>Готово</x:v>
      </x:c>
      <x:c r="E19" s="42" t="str">
        <x:v>Approved</x:v>
      </x:c>
      <x:c r="F19" s="42" t="str">
        <x:v>Не требуется</x:v>
      </x:c>
      <x:c r="G19" s="42" t="str">
        <x:v>Текущие зелёные</x:v>
      </x:c>
      <x:c r="H19" s="42" t="str">
        <x:v>Required every slice</x:v>
      </x:c>
      <x:c r="I19" s="42" t="str">
        <x:v>P0</x:v>
      </x:c>
      <x:c r="J19" s="36" t="str">
        <x:v>Run on current working tree</x:v>
      </x:c>
      <x:c r="K19" s="36" t="str">
        <x:v>Large dirty tree</x:v>
      </x:c>
      <x:c r="L19" s="36" t="str">
        <x:v>Repository owner</x:v>
      </x:c>
      <x:c r="M19" s="36" t="str">
        <x:v>CONTRIBUTING.md</x:v>
      </x:c>
      <x:c r="N19" s="45" t="n">
        <x:v>46250.5</x:v>
      </x:c>
      <x:c r="O19" s="48" t="n">
        <x:f>IF(B19="","",AVERAGE(IFERROR(VLOOKUP(D19,'Справочники'!$A$5:$B$14,2,FALSE),0),IFERROR(VLOOKUP(E19,'Справочники'!$D$5:$E$12,2,FALSE),0),IFERROR(VLOOKUP(F19,'Справочники'!$G$5:$H$12,2,FALSE),0),IFERROR(VLOOKUP(G19,'Справочники'!$J$5:$K$12,2,FALSE),0)))</x:f>
        <x:v>0.975</x:v>
      </x:c>
      <x:c r="P19" s="36" t="str">
        <x:v>2026-08-16 audit: git diff --check exit 0; line-ending warnings only</x:v>
      </x:c>
    </x:row>
    <x:row r="20" ht="44" customHeight="1">
      <x:c r="A20" s="39" t="str">
        <x:v>TEST-AUD-01</x:v>
      </x:c>
      <x:c r="B20" s="36" t="str">
        <x:v>Current stabilization gate</x:v>
      </x:c>
      <x:c r="C20" s="36" t="str">
        <x:v>Audit result</x:v>
      </x:c>
      <x:c r="D20" s="42" t="str">
        <x:v>Заблокировано</x:v>
      </x:c>
      <x:c r="E20" s="42" t="str">
        <x:v>Не требуется</x:v>
      </x:c>
      <x:c r="F20" s="42" t="str">
        <x:v>Не требуется</x:v>
      </x:c>
      <x:c r="G20" s="42" t="str">
        <x:v>Заблокированы</x:v>
      </x:c>
      <x:c r="H20" s="42" t="str">
        <x:v>Not Done</x:v>
      </x:c>
      <x:c r="I20" s="42" t="str">
        <x:v>P0</x:v>
      </x:c>
      <x:c r="J20" s="36" t="str">
        <x:v>Rerun analyzer, then full sequential suite on stable tree</x:v>
      </x:c>
      <x:c r="K20" s="36" t="str">
        <x:v>Analyzer produced no result and was stopped; full suite not run</x:v>
      </x:c>
      <x:c r="L20" s="36" t="str">
        <x:v>Mobile QA</x:v>
      </x:c>
      <x:c r="M20" s="36" t="str">
        <x:v>apps/mobile</x:v>
      </x:c>
      <x:c r="N20" s="45" t="n">
        <x:v>46250.5</x:v>
      </x:c>
      <x:c r="O20" s="48" t="n">
        <x:f>IF(B20="","",AVERAGE(IFERROR(VLOOKUP(D20,'Справочники'!$A$5:$B$14,2,FALSE),0),IFERROR(VLOOKUP(E20,'Справочники'!$D$5:$E$12,2,FALSE),0),IFERROR(VLOOKUP(F20,'Справочники'!$G$5:$H$12,2,FALSE),0),IFERROR(VLOOKUP(G20,'Справочники'!$J$5:$K$12,2,FALSE),0)))</x:f>
        <x:v>0.575</x:v>
      </x:c>
      <x:c r="P20" s="36" t="str"/>
    </x:row>
    <x:row r="21" ht="44" customHeight="1">
      <x:c r="A21" s="39"/>
      <x:c r="B21" s="36"/>
      <x:c r="C21" s="36"/>
      <x:c r="D21" s="42"/>
      <x:c r="E21" s="42"/>
      <x:c r="F21" s="42"/>
      <x:c r="G21" s="42"/>
      <x:c r="H21" s="42"/>
      <x:c r="I21" s="42"/>
      <x:c r="J21" s="36"/>
      <x:c r="K21" s="36"/>
      <x:c r="L21" s="36"/>
      <x:c r="M21" s="36"/>
      <x:c r="N21" s="45"/>
      <x:c r="O21" s="48" t="str">
        <x:f>IF(B21="","",AVERAGE(IFERROR(VLOOKUP(D21,'Справочники'!$A$5:$B$14,2,FALSE),0),IFERROR(VLOOKUP(E21,'Справочники'!$D$5:$E$12,2,FALSE),0),IFERROR(VLOOKUP(F21,'Справочники'!$G$5:$H$12,2,FALSE),0),IFERROR(VLOOKUP(G21,'Справочники'!$J$5:$K$12,2,FALSE),0)))</x:f>
      </x:c>
      <x:c r="P21" s="36"/>
    </x:row>
    <x:row r="22" ht="44" customHeight="1">
      <x:c r="A22" s="39"/>
      <x:c r="B22" s="36"/>
      <x:c r="C22" s="36"/>
      <x:c r="D22" s="42"/>
      <x:c r="E22" s="42"/>
      <x:c r="F22" s="42"/>
      <x:c r="G22" s="42"/>
      <x:c r="H22" s="42"/>
      <x:c r="I22" s="42"/>
      <x:c r="J22" s="36"/>
      <x:c r="K22" s="36"/>
      <x:c r="L22" s="36"/>
      <x:c r="M22" s="36"/>
      <x:c r="N22" s="45"/>
      <x:c r="O22" s="48" t="str">
        <x:f>IF(B22="","",AVERAGE(IFERROR(VLOOKUP(D22,'Справочники'!$A$5:$B$14,2,FALSE),0),IFERROR(VLOOKUP(E22,'Справочники'!$D$5:$E$12,2,FALSE),0),IFERROR(VLOOKUP(F22,'Справочники'!$G$5:$H$12,2,FALSE),0),IFERROR(VLOOKUP(G22,'Справочники'!$J$5:$K$12,2,FALSE),0)))</x:f>
      </x:c>
      <x:c r="P22" s="36"/>
    </x:row>
    <x:row r="23" ht="44" customHeight="1">
      <x:c r="A23" s="39"/>
      <x:c r="B23" s="36"/>
      <x:c r="C23" s="36"/>
      <x:c r="D23" s="42"/>
      <x:c r="E23" s="42"/>
      <x:c r="F23" s="42"/>
      <x:c r="G23" s="42"/>
      <x:c r="H23" s="42"/>
      <x:c r="I23" s="42"/>
      <x:c r="J23" s="36"/>
      <x:c r="K23" s="36"/>
      <x:c r="L23" s="36"/>
      <x:c r="M23" s="36"/>
      <x:c r="N23" s="45"/>
      <x:c r="O23" s="48" t="str">
        <x:f>IF(B23="","",AVERAGE(IFERROR(VLOOKUP(D23,'Справочники'!$A$5:$B$14,2,FALSE),0),IFERROR(VLOOKUP(E23,'Справочники'!$D$5:$E$12,2,FALSE),0),IFERROR(VLOOKUP(F23,'Справочники'!$G$5:$H$12,2,FALSE),0),IFERROR(VLOOKUP(G23,'Справочники'!$J$5:$K$12,2,FALSE),0)))</x:f>
      </x:c>
      <x:c r="P23" s="36"/>
    </x:row>
    <x:row r="24" ht="44" customHeight="1">
      <x:c r="A24" s="39"/>
      <x:c r="B24" s="36"/>
      <x:c r="C24" s="36"/>
      <x:c r="D24" s="42"/>
      <x:c r="E24" s="42"/>
      <x:c r="F24" s="42"/>
      <x:c r="G24" s="42"/>
      <x:c r="H24" s="42"/>
      <x:c r="I24" s="42"/>
      <x:c r="J24" s="36"/>
      <x:c r="K24" s="36"/>
      <x:c r="L24" s="36"/>
      <x:c r="M24" s="36"/>
      <x:c r="N24" s="45"/>
      <x:c r="O24" s="48" t="str">
        <x:f>IF(B24="","",AVERAGE(IFERROR(VLOOKUP(D24,'Справочники'!$A$5:$B$14,2,FALSE),0),IFERROR(VLOOKUP(E24,'Справочники'!$D$5:$E$12,2,FALSE),0),IFERROR(VLOOKUP(F24,'Справочники'!$G$5:$H$12,2,FALSE),0),IFERROR(VLOOKUP(G24,'Справочники'!$J$5:$K$12,2,FALSE),0)))</x:f>
      </x:c>
      <x:c r="P24" s="36"/>
    </x:row>
    <x:row r="25" ht="44" customHeight="1">
      <x:c r="A25" s="39"/>
      <x:c r="B25" s="36"/>
      <x:c r="C25" s="36"/>
      <x:c r="D25" s="42"/>
      <x:c r="E25" s="42"/>
      <x:c r="F25" s="42"/>
      <x:c r="G25" s="42"/>
      <x:c r="H25" s="42"/>
      <x:c r="I25" s="42"/>
      <x:c r="J25" s="36"/>
      <x:c r="K25" s="36"/>
      <x:c r="L25" s="36"/>
      <x:c r="M25" s="36"/>
      <x:c r="N25" s="45"/>
      <x:c r="O25" s="48" t="str">
        <x:f>IF(B25="","",AVERAGE(IFERROR(VLOOKUP(D25,'Справочники'!$A$5:$B$14,2,FALSE),0),IFERROR(VLOOKUP(E25,'Справочники'!$D$5:$E$12,2,FALSE),0),IFERROR(VLOOKUP(F25,'Справочники'!$G$5:$H$12,2,FALSE),0),IFERROR(VLOOKUP(G25,'Справочники'!$J$5:$K$12,2,FALSE),0)))</x:f>
      </x:c>
      <x:c r="P25" s="36"/>
    </x:row>
    <x:row r="26" ht="44" customHeight="1">
      <x:c r="A26" s="39"/>
      <x:c r="B26" s="36"/>
      <x:c r="C26" s="36"/>
      <x:c r="D26" s="42"/>
      <x:c r="E26" s="42"/>
      <x:c r="F26" s="42"/>
      <x:c r="G26" s="42"/>
      <x:c r="H26" s="42"/>
      <x:c r="I26" s="42"/>
      <x:c r="J26" s="36"/>
      <x:c r="K26" s="36"/>
      <x:c r="L26" s="36"/>
      <x:c r="M26" s="36"/>
      <x:c r="N26" s="45"/>
      <x:c r="O26" s="48" t="str">
        <x:f>IF(B26="","",AVERAGE(IFERROR(VLOOKUP(D26,'Справочники'!$A$5:$B$14,2,FALSE),0),IFERROR(VLOOKUP(E26,'Справочники'!$D$5:$E$12,2,FALSE),0),IFERROR(VLOOKUP(F26,'Справочники'!$G$5:$H$12,2,FALSE),0),IFERROR(VLOOKUP(G26,'Справочники'!$J$5:$K$12,2,FALSE),0)))</x:f>
      </x:c>
      <x:c r="P26" s="36"/>
    </x:row>
    <x:row r="27" ht="44" customHeight="1">
      <x:c r="A27" s="39"/>
      <x:c r="B27" s="36"/>
      <x:c r="C27" s="36"/>
      <x:c r="D27" s="42"/>
      <x:c r="E27" s="42"/>
      <x:c r="F27" s="42"/>
      <x:c r="G27" s="42"/>
      <x:c r="H27" s="42"/>
      <x:c r="I27" s="42"/>
      <x:c r="J27" s="36"/>
      <x:c r="K27" s="36"/>
      <x:c r="L27" s="36"/>
      <x:c r="M27" s="36"/>
      <x:c r="N27" s="45"/>
      <x:c r="O27" s="48" t="str">
        <x:f>IF(B27="","",AVERAGE(IFERROR(VLOOKUP(D27,'Справочники'!$A$5:$B$14,2,FALSE),0),IFERROR(VLOOKUP(E27,'Справочники'!$D$5:$E$12,2,FALSE),0),IFERROR(VLOOKUP(F27,'Справочники'!$G$5:$H$12,2,FALSE),0),IFERROR(VLOOKUP(G27,'Справочники'!$J$5:$K$12,2,FALSE),0)))</x:f>
      </x:c>
      <x:c r="P27" s="36"/>
    </x:row>
    <x:row r="28" ht="44" customHeight="1">
      <x:c r="A28" s="39"/>
      <x:c r="B28" s="36"/>
      <x:c r="C28" s="36"/>
      <x:c r="D28" s="42"/>
      <x:c r="E28" s="42"/>
      <x:c r="F28" s="42"/>
      <x:c r="G28" s="42"/>
      <x:c r="H28" s="42"/>
      <x:c r="I28" s="42"/>
      <x:c r="J28" s="36"/>
      <x:c r="K28" s="36"/>
      <x:c r="L28" s="36"/>
      <x:c r="M28" s="36"/>
      <x:c r="N28" s="45"/>
      <x:c r="O28" s="48" t="str">
        <x:f>IF(B28="","",AVERAGE(IFERROR(VLOOKUP(D28,'Справочники'!$A$5:$B$14,2,FALSE),0),IFERROR(VLOOKUP(E28,'Справочники'!$D$5:$E$12,2,FALSE),0),IFERROR(VLOOKUP(F28,'Справочники'!$G$5:$H$12,2,FALSE),0),IFERROR(VLOOKUP(G28,'Справочники'!$J$5:$K$12,2,FALSE),0)))</x:f>
      </x:c>
      <x:c r="P28" s="36"/>
    </x:row>
    <x:row r="29" ht="44" customHeight="1">
      <x:c r="A29" s="39"/>
      <x:c r="B29" s="36"/>
      <x:c r="C29" s="36"/>
      <x:c r="D29" s="42"/>
      <x:c r="E29" s="42"/>
      <x:c r="F29" s="42"/>
      <x:c r="G29" s="42"/>
      <x:c r="H29" s="42"/>
      <x:c r="I29" s="42"/>
      <x:c r="J29" s="36"/>
      <x:c r="K29" s="36"/>
      <x:c r="L29" s="36"/>
      <x:c r="M29" s="36"/>
      <x:c r="N29" s="45"/>
      <x:c r="O29" s="48" t="str">
        <x:f>IF(B29="","",AVERAGE(IFERROR(VLOOKUP(D29,'Справочники'!$A$5:$B$14,2,FALSE),0),IFERROR(VLOOKUP(E29,'Справочники'!$D$5:$E$12,2,FALSE),0),IFERROR(VLOOKUP(F29,'Справочники'!$G$5:$H$12,2,FALSE),0),IFERROR(VLOOKUP(G29,'Справочники'!$J$5:$K$12,2,FALSE),0)))</x:f>
      </x:c>
      <x:c r="P29" s="36"/>
    </x:row>
    <x:row r="30" ht="44" customHeight="1">
      <x:c r="A30" s="39"/>
      <x:c r="B30" s="36"/>
      <x:c r="C30" s="36"/>
      <x:c r="D30" s="42"/>
      <x:c r="E30" s="42"/>
      <x:c r="F30" s="42"/>
      <x:c r="G30" s="42"/>
      <x:c r="H30" s="42"/>
      <x:c r="I30" s="42"/>
      <x:c r="J30" s="36"/>
      <x:c r="K30" s="36"/>
      <x:c r="L30" s="36"/>
      <x:c r="M30" s="36"/>
      <x:c r="N30" s="45"/>
      <x:c r="O30" s="48" t="str">
        <x:f>IF(B30="","",AVERAGE(IFERROR(VLOOKUP(D30,'Справочники'!$A$5:$B$14,2,FALSE),0),IFERROR(VLOOKUP(E30,'Справочники'!$D$5:$E$12,2,FALSE),0),IFERROR(VLOOKUP(F30,'Справочники'!$G$5:$H$12,2,FALSE),0),IFERROR(VLOOKUP(G30,'Справочники'!$J$5:$K$12,2,FALSE),0)))</x:f>
      </x:c>
      <x:c r="P30" s="36"/>
    </x:row>
    <x:row r="31" ht="44" customHeight="1">
      <x:c r="A31" s="39"/>
      <x:c r="B31" s="36"/>
      <x:c r="C31" s="36"/>
      <x:c r="D31" s="42"/>
      <x:c r="E31" s="42"/>
      <x:c r="F31" s="42"/>
      <x:c r="G31" s="42"/>
      <x:c r="H31" s="42"/>
      <x:c r="I31" s="42"/>
      <x:c r="J31" s="36"/>
      <x:c r="K31" s="36"/>
      <x:c r="L31" s="36"/>
      <x:c r="M31" s="36"/>
      <x:c r="N31" s="45"/>
      <x:c r="O31" s="48" t="str">
        <x:f>IF(B31="","",AVERAGE(IFERROR(VLOOKUP(D31,'Справочники'!$A$5:$B$14,2,FALSE),0),IFERROR(VLOOKUP(E31,'Справочники'!$D$5:$E$12,2,FALSE),0),IFERROR(VLOOKUP(F31,'Справочники'!$G$5:$H$12,2,FALSE),0),IFERROR(VLOOKUP(G31,'Справочники'!$J$5:$K$12,2,FALSE),0)))</x:f>
      </x:c>
      <x:c r="P31" s="36"/>
    </x:row>
    <x:row r="32" ht="44" customHeight="1">
      <x:c r="A32" s="39"/>
      <x:c r="B32" s="36"/>
      <x:c r="C32" s="36"/>
      <x:c r="D32" s="42"/>
      <x:c r="E32" s="42"/>
      <x:c r="F32" s="42"/>
      <x:c r="G32" s="42"/>
      <x:c r="H32" s="42"/>
      <x:c r="I32" s="42"/>
      <x:c r="J32" s="36"/>
      <x:c r="K32" s="36"/>
      <x:c r="L32" s="36"/>
      <x:c r="M32" s="36"/>
      <x:c r="N32" s="45"/>
      <x:c r="O32" s="48" t="str">
        <x:f>IF(B32="","",AVERAGE(IFERROR(VLOOKUP(D32,'Справочники'!$A$5:$B$14,2,FALSE),0),IFERROR(VLOOKUP(E32,'Справочники'!$D$5:$E$12,2,FALSE),0),IFERROR(VLOOKUP(F32,'Справочники'!$G$5:$H$12,2,FALSE),0),IFERROR(VLOOKUP(G32,'Справочники'!$J$5:$K$12,2,FALSE),0)))</x:f>
      </x:c>
      <x:c r="P32" s="36"/>
    </x:row>
    <x:row r="33" ht="44" customHeight="1">
      <x:c r="A33" s="39"/>
      <x:c r="B33" s="36"/>
      <x:c r="C33" s="36"/>
      <x:c r="D33" s="42"/>
      <x:c r="E33" s="42"/>
      <x:c r="F33" s="42"/>
      <x:c r="G33" s="42"/>
      <x:c r="H33" s="42"/>
      <x:c r="I33" s="42"/>
      <x:c r="J33" s="36"/>
      <x:c r="K33" s="36"/>
      <x:c r="L33" s="36"/>
      <x:c r="M33" s="36"/>
      <x:c r="N33" s="45"/>
      <x:c r="O33" s="48" t="str">
        <x:f>IF(B33="","",AVERAGE(IFERROR(VLOOKUP(D33,'Справочники'!$A$5:$B$14,2,FALSE),0),IFERROR(VLOOKUP(E33,'Справочники'!$D$5:$E$12,2,FALSE),0),IFERROR(VLOOKUP(F33,'Справочники'!$G$5:$H$12,2,FALSE),0),IFERROR(VLOOKUP(G33,'Справочники'!$J$5:$K$12,2,FALSE),0)))</x:f>
      </x:c>
      <x:c r="P33" s="36"/>
    </x:row>
    <x:row r="34" ht="44" customHeight="1">
      <x:c r="A34" s="39"/>
      <x:c r="B34" s="36"/>
      <x:c r="C34" s="36"/>
      <x:c r="D34" s="42"/>
      <x:c r="E34" s="42"/>
      <x:c r="F34" s="42"/>
      <x:c r="G34" s="42"/>
      <x:c r="H34" s="42"/>
      <x:c r="I34" s="42"/>
      <x:c r="J34" s="36"/>
      <x:c r="K34" s="36"/>
      <x:c r="L34" s="36"/>
      <x:c r="M34" s="36"/>
      <x:c r="N34" s="45"/>
      <x:c r="O34" s="48" t="str">
        <x:f>IF(B34="","",AVERAGE(IFERROR(VLOOKUP(D34,'Справочники'!$A$5:$B$14,2,FALSE),0),IFERROR(VLOOKUP(E34,'Справочники'!$D$5:$E$12,2,FALSE),0),IFERROR(VLOOKUP(F34,'Справочники'!$G$5:$H$12,2,FALSE),0),IFERROR(VLOOKUP(G34,'Справочники'!$J$5:$K$12,2,FALSE),0)))</x:f>
      </x:c>
      <x:c r="P34" s="36"/>
    </x:row>
    <x:row r="35" ht="44" customHeight="1">
      <x:c r="A35" s="39"/>
      <x:c r="B35" s="36"/>
      <x:c r="C35" s="36"/>
      <x:c r="D35" s="42"/>
      <x:c r="E35" s="42"/>
      <x:c r="F35" s="42"/>
      <x:c r="G35" s="42"/>
      <x:c r="H35" s="42"/>
      <x:c r="I35" s="42"/>
      <x:c r="J35" s="36"/>
      <x:c r="K35" s="36"/>
      <x:c r="L35" s="36"/>
      <x:c r="M35" s="36"/>
      <x:c r="N35" s="45"/>
      <x:c r="O35" s="48" t="str">
        <x:f>IF(B35="","",AVERAGE(IFERROR(VLOOKUP(D35,'Справочники'!$A$5:$B$14,2,FALSE),0),IFERROR(VLOOKUP(E35,'Справочники'!$D$5:$E$12,2,FALSE),0),IFERROR(VLOOKUP(F35,'Справочники'!$G$5:$H$12,2,FALSE),0),IFERROR(VLOOKUP(G35,'Справочники'!$J$5:$K$12,2,FALSE),0)))</x:f>
      </x:c>
      <x:c r="P35" s="36"/>
    </x:row>
    <x:row r="36" ht="44" customHeight="1">
      <x:c r="A36" s="39"/>
      <x:c r="B36" s="36"/>
      <x:c r="C36" s="36"/>
      <x:c r="D36" s="42"/>
      <x:c r="E36" s="42"/>
      <x:c r="F36" s="42"/>
      <x:c r="G36" s="42"/>
      <x:c r="H36" s="42"/>
      <x:c r="I36" s="42"/>
      <x:c r="J36" s="36"/>
      <x:c r="K36" s="36"/>
      <x:c r="L36" s="36"/>
      <x:c r="M36" s="36"/>
      <x:c r="N36" s="45"/>
      <x:c r="O36" s="48" t="str">
        <x:f>IF(B36="","",AVERAGE(IFERROR(VLOOKUP(D36,'Справочники'!$A$5:$B$14,2,FALSE),0),IFERROR(VLOOKUP(E36,'Справочники'!$D$5:$E$12,2,FALSE),0),IFERROR(VLOOKUP(F36,'Справочники'!$G$5:$H$12,2,FALSE),0),IFERROR(VLOOKUP(G36,'Справочники'!$J$5:$K$12,2,FALSE),0)))</x:f>
      </x:c>
      <x:c r="P36" s="36"/>
    </x:row>
    <x:row r="37" ht="44" customHeight="1">
      <x:c r="A37" s="39"/>
      <x:c r="B37" s="36"/>
      <x:c r="C37" s="36"/>
      <x:c r="D37" s="42"/>
      <x:c r="E37" s="42"/>
      <x:c r="F37" s="42"/>
      <x:c r="G37" s="42"/>
      <x:c r="H37" s="42"/>
      <x:c r="I37" s="42"/>
      <x:c r="J37" s="36"/>
      <x:c r="K37" s="36"/>
      <x:c r="L37" s="36"/>
      <x:c r="M37" s="36"/>
      <x:c r="N37" s="45"/>
      <x:c r="O37" s="48" t="str">
        <x:f>IF(B37="","",AVERAGE(IFERROR(VLOOKUP(D37,'Справочники'!$A$5:$B$14,2,FALSE),0),IFERROR(VLOOKUP(E37,'Справочники'!$D$5:$E$12,2,FALSE),0),IFERROR(VLOOKUP(F37,'Справочники'!$G$5:$H$12,2,FALSE),0),IFERROR(VLOOKUP(G37,'Справочники'!$J$5:$K$12,2,FALSE),0)))</x:f>
      </x:c>
      <x:c r="P37" s="36"/>
    </x:row>
    <x:row r="38" ht="44" customHeight="1">
      <x:c r="A38" s="39"/>
      <x:c r="B38" s="36"/>
      <x:c r="C38" s="36"/>
      <x:c r="D38" s="42"/>
      <x:c r="E38" s="42"/>
      <x:c r="F38" s="42"/>
      <x:c r="G38" s="42"/>
      <x:c r="H38" s="42"/>
      <x:c r="I38" s="42"/>
      <x:c r="J38" s="36"/>
      <x:c r="K38" s="36"/>
      <x:c r="L38" s="36"/>
      <x:c r="M38" s="36"/>
      <x:c r="N38" s="45"/>
      <x:c r="O38" s="48" t="str">
        <x:f>IF(B38="","",AVERAGE(IFERROR(VLOOKUP(D38,'Справочники'!$A$5:$B$14,2,FALSE),0),IFERROR(VLOOKUP(E38,'Справочники'!$D$5:$E$12,2,FALSE),0),IFERROR(VLOOKUP(F38,'Справочники'!$G$5:$H$12,2,FALSE),0),IFERROR(VLOOKUP(G38,'Справочники'!$J$5:$K$12,2,FALSE),0)))</x:f>
      </x:c>
      <x:c r="P38" s="36"/>
    </x:row>
    <x:row r="39" ht="44" customHeight="1">
      <x:c r="A39" s="39"/>
      <x:c r="B39" s="36"/>
      <x:c r="C39" s="36"/>
      <x:c r="D39" s="42"/>
      <x:c r="E39" s="42"/>
      <x:c r="F39" s="42"/>
      <x:c r="G39" s="42"/>
      <x:c r="H39" s="42"/>
      <x:c r="I39" s="42"/>
      <x:c r="J39" s="36"/>
      <x:c r="K39" s="36"/>
      <x:c r="L39" s="36"/>
      <x:c r="M39" s="36"/>
      <x:c r="N39" s="45"/>
      <x:c r="O39" s="48" t="str">
        <x:f>IF(B39="","",AVERAGE(IFERROR(VLOOKUP(D39,'Справочники'!$A$5:$B$14,2,FALSE),0),IFERROR(VLOOKUP(E39,'Справочники'!$D$5:$E$12,2,FALSE),0),IFERROR(VLOOKUP(F39,'Справочники'!$G$5:$H$12,2,FALSE),0),IFERROR(VLOOKUP(G39,'Справочники'!$J$5:$K$12,2,FALSE),0)))</x:f>
      </x:c>
      <x:c r="P39" s="36"/>
    </x:row>
    <x:row r="40" ht="44" customHeight="1">
      <x:c r="A40" s="39"/>
      <x:c r="B40" s="36"/>
      <x:c r="C40" s="36"/>
      <x:c r="D40" s="42"/>
      <x:c r="E40" s="42"/>
      <x:c r="F40" s="42"/>
      <x:c r="G40" s="42"/>
      <x:c r="H40" s="42"/>
      <x:c r="I40" s="42"/>
      <x:c r="J40" s="36"/>
      <x:c r="K40" s="36"/>
      <x:c r="L40" s="36"/>
      <x:c r="M40" s="36"/>
      <x:c r="N40" s="45"/>
      <x:c r="O40" s="48" t="str">
        <x:f>IF(B40="","",AVERAGE(IFERROR(VLOOKUP(D40,'Справочники'!$A$5:$B$14,2,FALSE),0),IFERROR(VLOOKUP(E40,'Справочники'!$D$5:$E$12,2,FALSE),0),IFERROR(VLOOKUP(F40,'Справочники'!$G$5:$H$12,2,FALSE),0),IFERROR(VLOOKUP(G40,'Справочники'!$J$5:$K$12,2,FALSE),0)))</x:f>
      </x:c>
      <x:c r="P40" s="36"/>
    </x:row>
    <x:row r="41" ht="44" customHeight="1">
      <x:c r="A41" s="39"/>
      <x:c r="B41" s="36"/>
      <x:c r="C41" s="36"/>
      <x:c r="D41" s="42"/>
      <x:c r="E41" s="42"/>
      <x:c r="F41" s="42"/>
      <x:c r="G41" s="42"/>
      <x:c r="H41" s="42"/>
      <x:c r="I41" s="42"/>
      <x:c r="J41" s="36"/>
      <x:c r="K41" s="36"/>
      <x:c r="L41" s="36"/>
      <x:c r="M41" s="36"/>
      <x:c r="N41" s="45"/>
      <x:c r="O41" s="48" t="str">
        <x:f>IF(B41="","",AVERAGE(IFERROR(VLOOKUP(D41,'Справочники'!$A$5:$B$14,2,FALSE),0),IFERROR(VLOOKUP(E41,'Справочники'!$D$5:$E$12,2,FALSE),0),IFERROR(VLOOKUP(F41,'Справочники'!$G$5:$H$12,2,FALSE),0),IFERROR(VLOOKUP(G41,'Справочники'!$J$5:$K$12,2,FALSE),0)))</x:f>
      </x:c>
      <x:c r="P41" s="36"/>
    </x:row>
    <x:row r="42" ht="44" customHeight="1">
      <x:c r="A42" s="39"/>
      <x:c r="B42" s="36"/>
      <x:c r="C42" s="36"/>
      <x:c r="D42" s="42"/>
      <x:c r="E42" s="42"/>
      <x:c r="F42" s="42"/>
      <x:c r="G42" s="42"/>
      <x:c r="H42" s="42"/>
      <x:c r="I42" s="42"/>
      <x:c r="J42" s="36"/>
      <x:c r="K42" s="36"/>
      <x:c r="L42" s="36"/>
      <x:c r="M42" s="36"/>
      <x:c r="N42" s="45"/>
      <x:c r="O42" s="48" t="str">
        <x:f>IF(B42="","",AVERAGE(IFERROR(VLOOKUP(D42,'Справочники'!$A$5:$B$14,2,FALSE),0),IFERROR(VLOOKUP(E42,'Справочники'!$D$5:$E$12,2,FALSE),0),IFERROR(VLOOKUP(F42,'Справочники'!$G$5:$H$12,2,FALSE),0),IFERROR(VLOOKUP(G42,'Справочники'!$J$5:$K$12,2,FALSE),0)))</x:f>
      </x:c>
      <x:c r="P42" s="36"/>
    </x:row>
    <x:row r="43" ht="44" customHeight="1">
      <x:c r="A43" s="39"/>
      <x:c r="B43" s="36"/>
      <x:c r="C43" s="36"/>
      <x:c r="D43" s="42"/>
      <x:c r="E43" s="42"/>
      <x:c r="F43" s="42"/>
      <x:c r="G43" s="42"/>
      <x:c r="H43" s="42"/>
      <x:c r="I43" s="42"/>
      <x:c r="J43" s="36"/>
      <x:c r="K43" s="36"/>
      <x:c r="L43" s="36"/>
      <x:c r="M43" s="36"/>
      <x:c r="N43" s="45"/>
      <x:c r="O43" s="48" t="str">
        <x:f>IF(B43="","",AVERAGE(IFERROR(VLOOKUP(D43,'Справочники'!$A$5:$B$14,2,FALSE),0),IFERROR(VLOOKUP(E43,'Справочники'!$D$5:$E$12,2,FALSE),0),IFERROR(VLOOKUP(F43,'Справочники'!$G$5:$H$12,2,FALSE),0),IFERROR(VLOOKUP(G43,'Справочники'!$J$5:$K$12,2,FALSE),0)))</x:f>
      </x:c>
      <x:c r="P43" s="36"/>
    </x:row>
    <x:row r="44" ht="44" customHeight="1">
      <x:c r="A44" s="39"/>
      <x:c r="B44" s="36"/>
      <x:c r="C44" s="36"/>
      <x:c r="D44" s="42"/>
      <x:c r="E44" s="42"/>
      <x:c r="F44" s="42"/>
      <x:c r="G44" s="42"/>
      <x:c r="H44" s="42"/>
      <x:c r="I44" s="42"/>
      <x:c r="J44" s="36"/>
      <x:c r="K44" s="36"/>
      <x:c r="L44" s="36"/>
      <x:c r="M44" s="36"/>
      <x:c r="N44" s="45"/>
      <x:c r="O44" s="48" t="str">
        <x:f>IF(B44="","",AVERAGE(IFERROR(VLOOKUP(D44,'Справочники'!$A$5:$B$14,2,FALSE),0),IFERROR(VLOOKUP(E44,'Справочники'!$D$5:$E$12,2,FALSE),0),IFERROR(VLOOKUP(F44,'Справочники'!$G$5:$H$12,2,FALSE),0),IFERROR(VLOOKUP(G44,'Справочники'!$J$5:$K$12,2,FALSE),0)))</x:f>
      </x:c>
      <x:c r="P44" s="36"/>
    </x:row>
    <x:row r="45" ht="44" customHeight="1">
      <x:c r="A45" s="39"/>
      <x:c r="B45" s="36"/>
      <x:c r="C45" s="36"/>
      <x:c r="D45" s="42"/>
      <x:c r="E45" s="42"/>
      <x:c r="F45" s="42"/>
      <x:c r="G45" s="42"/>
      <x:c r="H45" s="42"/>
      <x:c r="I45" s="42"/>
      <x:c r="J45" s="36"/>
      <x:c r="K45" s="36"/>
      <x:c r="L45" s="36"/>
      <x:c r="M45" s="36"/>
      <x:c r="N45" s="45"/>
      <x:c r="O45" s="48" t="str">
        <x:f>IF(B45="","",AVERAGE(IFERROR(VLOOKUP(D45,'Справочники'!$A$5:$B$14,2,FALSE),0),IFERROR(VLOOKUP(E45,'Справочники'!$D$5:$E$12,2,FALSE),0),IFERROR(VLOOKUP(F45,'Справочники'!$G$5:$H$12,2,FALSE),0),IFERROR(VLOOKUP(G45,'Справочники'!$J$5:$K$12,2,FALSE),0)))</x:f>
      </x:c>
      <x:c r="P45" s="36"/>
    </x:row>
    <x:row r="46" ht="44" customHeight="1">
      <x:c r="A46" s="39"/>
      <x:c r="B46" s="36"/>
      <x:c r="C46" s="36"/>
      <x:c r="D46" s="42"/>
      <x:c r="E46" s="42"/>
      <x:c r="F46" s="42"/>
      <x:c r="G46" s="42"/>
      <x:c r="H46" s="42"/>
      <x:c r="I46" s="42"/>
      <x:c r="J46" s="36"/>
      <x:c r="K46" s="36"/>
      <x:c r="L46" s="36"/>
      <x:c r="M46" s="36"/>
      <x:c r="N46" s="45"/>
      <x:c r="O46" s="48" t="str">
        <x:f>IF(B46="","",AVERAGE(IFERROR(VLOOKUP(D46,'Справочники'!$A$5:$B$14,2,FALSE),0),IFERROR(VLOOKUP(E46,'Справочники'!$D$5:$E$12,2,FALSE),0),IFERROR(VLOOKUP(F46,'Справочники'!$G$5:$H$12,2,FALSE),0),IFERROR(VLOOKUP(G46,'Справочники'!$J$5:$K$12,2,FALSE),0)))</x:f>
      </x:c>
      <x:c r="P46" s="36"/>
    </x:row>
    <x:row r="47" ht="44" customHeight="1">
      <x:c r="A47" s="39"/>
      <x:c r="B47" s="36"/>
      <x:c r="C47" s="36"/>
      <x:c r="D47" s="42"/>
      <x:c r="E47" s="42"/>
      <x:c r="F47" s="42"/>
      <x:c r="G47" s="42"/>
      <x:c r="H47" s="42"/>
      <x:c r="I47" s="42"/>
      <x:c r="J47" s="36"/>
      <x:c r="K47" s="36"/>
      <x:c r="L47" s="36"/>
      <x:c r="M47" s="36"/>
      <x:c r="N47" s="45"/>
      <x:c r="O47" s="48" t="str">
        <x:f>IF(B47="","",AVERAGE(IFERROR(VLOOKUP(D47,'Справочники'!$A$5:$B$14,2,FALSE),0),IFERROR(VLOOKUP(E47,'Справочники'!$D$5:$E$12,2,FALSE),0),IFERROR(VLOOKUP(F47,'Справочники'!$G$5:$H$12,2,FALSE),0),IFERROR(VLOOKUP(G47,'Справочники'!$J$5:$K$12,2,FALSE),0)))</x:f>
      </x:c>
      <x:c r="P47" s="36"/>
    </x:row>
    <x:row r="48" ht="44" customHeight="1">
      <x:c r="A48" s="39"/>
      <x:c r="B48" s="36"/>
      <x:c r="C48" s="36"/>
      <x:c r="D48" s="42"/>
      <x:c r="E48" s="42"/>
      <x:c r="F48" s="42"/>
      <x:c r="G48" s="42"/>
      <x:c r="H48" s="42"/>
      <x:c r="I48" s="42"/>
      <x:c r="J48" s="36"/>
      <x:c r="K48" s="36"/>
      <x:c r="L48" s="36"/>
      <x:c r="M48" s="36"/>
      <x:c r="N48" s="45"/>
      <x:c r="O48" s="48" t="str">
        <x:f>IF(B48="","",AVERAGE(IFERROR(VLOOKUP(D48,'Справочники'!$A$5:$B$14,2,FALSE),0),IFERROR(VLOOKUP(E48,'Справочники'!$D$5:$E$12,2,FALSE),0),IFERROR(VLOOKUP(F48,'Справочники'!$G$5:$H$12,2,FALSE),0),IFERROR(VLOOKUP(G48,'Справочники'!$J$5:$K$12,2,FALSE),0)))</x:f>
      </x:c>
      <x:c r="P48" s="36"/>
    </x:row>
    <x:row r="49" ht="44" customHeight="1">
      <x:c r="A49" s="39"/>
      <x:c r="B49" s="36"/>
      <x:c r="C49" s="36"/>
      <x:c r="D49" s="42"/>
      <x:c r="E49" s="42"/>
      <x:c r="F49" s="42"/>
      <x:c r="G49" s="42"/>
      <x:c r="H49" s="42"/>
      <x:c r="I49" s="42"/>
      <x:c r="J49" s="36"/>
      <x:c r="K49" s="36"/>
      <x:c r="L49" s="36"/>
      <x:c r="M49" s="36"/>
      <x:c r="N49" s="45"/>
      <x:c r="O49" s="48" t="str">
        <x:f>IF(B49="","",AVERAGE(IFERROR(VLOOKUP(D49,'Справочники'!$A$5:$B$14,2,FALSE),0),IFERROR(VLOOKUP(E49,'Справочники'!$D$5:$E$12,2,FALSE),0),IFERROR(VLOOKUP(F49,'Справочники'!$G$5:$H$12,2,FALSE),0),IFERROR(VLOOKUP(G49,'Справочники'!$J$5:$K$12,2,FALSE),0)))</x:f>
      </x:c>
      <x:c r="P49" s="36"/>
    </x:row>
    <x:row r="50" ht="44" customHeight="1">
      <x:c r="A50" s="39"/>
      <x:c r="B50" s="36"/>
      <x:c r="C50" s="36"/>
      <x:c r="D50" s="42"/>
      <x:c r="E50" s="42"/>
      <x:c r="F50" s="42"/>
      <x:c r="G50" s="42"/>
      <x:c r="H50" s="42"/>
      <x:c r="I50" s="42"/>
      <x:c r="J50" s="36"/>
      <x:c r="K50" s="36"/>
      <x:c r="L50" s="36"/>
      <x:c r="M50" s="36"/>
      <x:c r="N50" s="45"/>
      <x:c r="O50" s="48" t="str">
        <x:f>IF(B50="","",AVERAGE(IFERROR(VLOOKUP(D50,'Справочники'!$A$5:$B$14,2,FALSE),0),IFERROR(VLOOKUP(E50,'Справочники'!$D$5:$E$12,2,FALSE),0),IFERROR(VLOOKUP(F50,'Справочники'!$G$5:$H$12,2,FALSE),0),IFERROR(VLOOKUP(G50,'Справочники'!$J$5:$K$12,2,FALSE),0)))</x:f>
      </x:c>
      <x:c r="P50" s="36"/>
    </x:row>
    <x:row r="51" ht="44" customHeight="1">
      <x:c r="A51" s="39"/>
      <x:c r="B51" s="36"/>
      <x:c r="C51" s="36"/>
      <x:c r="D51" s="42"/>
      <x:c r="E51" s="42"/>
      <x:c r="F51" s="42"/>
      <x:c r="G51" s="42"/>
      <x:c r="H51" s="42"/>
      <x:c r="I51" s="42"/>
      <x:c r="J51" s="36"/>
      <x:c r="K51" s="36"/>
      <x:c r="L51" s="36"/>
      <x:c r="M51" s="36"/>
      <x:c r="N51" s="45"/>
      <x:c r="O51" s="48" t="str">
        <x:f>IF(B51="","",AVERAGE(IFERROR(VLOOKUP(D51,'Справочники'!$A$5:$B$14,2,FALSE),0),IFERROR(VLOOKUP(E51,'Справочники'!$D$5:$E$12,2,FALSE),0),IFERROR(VLOOKUP(F51,'Справочники'!$G$5:$H$12,2,FALSE),0),IFERROR(VLOOKUP(G51,'Справочники'!$J$5:$K$12,2,FALSE),0)))</x:f>
      </x:c>
      <x:c r="P51" s="36"/>
    </x:row>
    <x:row r="52" ht="44" customHeight="1">
      <x:c r="A52" s="39"/>
      <x:c r="B52" s="36"/>
      <x:c r="C52" s="36"/>
      <x:c r="D52" s="42"/>
      <x:c r="E52" s="42"/>
      <x:c r="F52" s="42"/>
      <x:c r="G52" s="42"/>
      <x:c r="H52" s="42"/>
      <x:c r="I52" s="42"/>
      <x:c r="J52" s="36"/>
      <x:c r="K52" s="36"/>
      <x:c r="L52" s="36"/>
      <x:c r="M52" s="36"/>
      <x:c r="N52" s="45"/>
      <x:c r="O52" s="48" t="str">
        <x:f>IF(B52="","",AVERAGE(IFERROR(VLOOKUP(D52,'Справочники'!$A$5:$B$14,2,FALSE),0),IFERROR(VLOOKUP(E52,'Справочники'!$D$5:$E$12,2,FALSE),0),IFERROR(VLOOKUP(F52,'Справочники'!$G$5:$H$12,2,FALSE),0),IFERROR(VLOOKUP(G52,'Справочники'!$J$5:$K$12,2,FALSE),0)))</x:f>
      </x:c>
      <x:c r="P52" s="36"/>
    </x:row>
    <x:row r="53" ht="44" customHeight="1">
      <x:c r="A53" s="39"/>
      <x:c r="B53" s="36"/>
      <x:c r="C53" s="36"/>
      <x:c r="D53" s="42"/>
      <x:c r="E53" s="42"/>
      <x:c r="F53" s="42"/>
      <x:c r="G53" s="42"/>
      <x:c r="H53" s="42"/>
      <x:c r="I53" s="42"/>
      <x:c r="J53" s="36"/>
      <x:c r="K53" s="36"/>
      <x:c r="L53" s="36"/>
      <x:c r="M53" s="36"/>
      <x:c r="N53" s="45"/>
      <x:c r="O53" s="48" t="str">
        <x:f>IF(B53="","",AVERAGE(IFERROR(VLOOKUP(D53,'Справочники'!$A$5:$B$14,2,FALSE),0),IFERROR(VLOOKUP(E53,'Справочники'!$D$5:$E$12,2,FALSE),0),IFERROR(VLOOKUP(F53,'Справочники'!$G$5:$H$12,2,FALSE),0),IFERROR(VLOOKUP(G53,'Справочники'!$J$5:$K$12,2,FALSE),0)))</x:f>
      </x:c>
      <x:c r="P53" s="36"/>
    </x:row>
    <x:row r="54" ht="44" customHeight="1">
      <x:c r="A54" s="39"/>
      <x:c r="B54" s="36"/>
      <x:c r="C54" s="36"/>
      <x:c r="D54" s="42"/>
      <x:c r="E54" s="42"/>
      <x:c r="F54" s="42"/>
      <x:c r="G54" s="42"/>
      <x:c r="H54" s="42"/>
      <x:c r="I54" s="42"/>
      <x:c r="J54" s="36"/>
      <x:c r="K54" s="36"/>
      <x:c r="L54" s="36"/>
      <x:c r="M54" s="36"/>
      <x:c r="N54" s="45"/>
      <x:c r="O54" s="48" t="str">
        <x:f>IF(B54="","",AVERAGE(IFERROR(VLOOKUP(D54,'Справочники'!$A$5:$B$14,2,FALSE),0),IFERROR(VLOOKUP(E54,'Справочники'!$D$5:$E$12,2,FALSE),0),IFERROR(VLOOKUP(F54,'Справочники'!$G$5:$H$12,2,FALSE),0),IFERROR(VLOOKUP(G54,'Справочники'!$J$5:$K$12,2,FALSE),0)))</x:f>
      </x:c>
      <x:c r="P54" s="36"/>
    </x:row>
    <x:row r="55" ht="44" customHeight="1">
      <x:c r="A55" s="39"/>
      <x:c r="B55" s="36"/>
      <x:c r="C55" s="36"/>
      <x:c r="D55" s="42"/>
      <x:c r="E55" s="42"/>
      <x:c r="F55" s="42"/>
      <x:c r="G55" s="42"/>
      <x:c r="H55" s="42"/>
      <x:c r="I55" s="42"/>
      <x:c r="J55" s="36"/>
      <x:c r="K55" s="36"/>
      <x:c r="L55" s="36"/>
      <x:c r="M55" s="36"/>
      <x:c r="N55" s="45"/>
      <x:c r="O55" s="48" t="str">
        <x:f>IF(B55="","",AVERAGE(IFERROR(VLOOKUP(D55,'Справочники'!$A$5:$B$14,2,FALSE),0),IFERROR(VLOOKUP(E55,'Справочники'!$D$5:$E$12,2,FALSE),0),IFERROR(VLOOKUP(F55,'Справочники'!$G$5:$H$12,2,FALSE),0),IFERROR(VLOOKUP(G55,'Справочники'!$J$5:$K$12,2,FALSE),0)))</x:f>
      </x:c>
      <x:c r="P55" s="36"/>
    </x:row>
    <x:row r="56" ht="44" customHeight="1">
      <x:c r="A56" s="39"/>
      <x:c r="B56" s="36"/>
      <x:c r="C56" s="36"/>
      <x:c r="D56" s="42"/>
      <x:c r="E56" s="42"/>
      <x:c r="F56" s="42"/>
      <x:c r="G56" s="42"/>
      <x:c r="H56" s="42"/>
      <x:c r="I56" s="42"/>
      <x:c r="J56" s="36"/>
      <x:c r="K56" s="36"/>
      <x:c r="L56" s="36"/>
      <x:c r="M56" s="36"/>
      <x:c r="N56" s="45"/>
      <x:c r="O56" s="48" t="str">
        <x:f>IF(B56="","",AVERAGE(IFERROR(VLOOKUP(D56,'Справочники'!$A$5:$B$14,2,FALSE),0),IFERROR(VLOOKUP(E56,'Справочники'!$D$5:$E$12,2,FALSE),0),IFERROR(VLOOKUP(F56,'Справочники'!$G$5:$H$12,2,FALSE),0),IFERROR(VLOOKUP(G56,'Справочники'!$J$5:$K$12,2,FALSE),0)))</x:f>
      </x:c>
      <x:c r="P56" s="36"/>
    </x:row>
    <x:row r="57" ht="44" customHeight="1">
      <x:c r="A57" s="39"/>
      <x:c r="B57" s="36"/>
      <x:c r="C57" s="36"/>
      <x:c r="D57" s="42"/>
      <x:c r="E57" s="42"/>
      <x:c r="F57" s="42"/>
      <x:c r="G57" s="42"/>
      <x:c r="H57" s="42"/>
      <x:c r="I57" s="42"/>
      <x:c r="J57" s="36"/>
      <x:c r="K57" s="36"/>
      <x:c r="L57" s="36"/>
      <x:c r="M57" s="36"/>
      <x:c r="N57" s="45"/>
      <x:c r="O57" s="48" t="str">
        <x:f>IF(B57="","",AVERAGE(IFERROR(VLOOKUP(D57,'Справочники'!$A$5:$B$14,2,FALSE),0),IFERROR(VLOOKUP(E57,'Справочники'!$D$5:$E$12,2,FALSE),0),IFERROR(VLOOKUP(F57,'Справочники'!$G$5:$H$12,2,FALSE),0),IFERROR(VLOOKUP(G57,'Справочники'!$J$5:$K$12,2,FALSE),0)))</x:f>
      </x:c>
      <x:c r="P57" s="36"/>
    </x:row>
    <x:row r="58" ht="44" customHeight="1">
      <x:c r="A58" s="39"/>
      <x:c r="B58" s="36"/>
      <x:c r="C58" s="36"/>
      <x:c r="D58" s="42"/>
      <x:c r="E58" s="42"/>
      <x:c r="F58" s="42"/>
      <x:c r="G58" s="42"/>
      <x:c r="H58" s="42"/>
      <x:c r="I58" s="42"/>
      <x:c r="J58" s="36"/>
      <x:c r="K58" s="36"/>
      <x:c r="L58" s="36"/>
      <x:c r="M58" s="36"/>
      <x:c r="N58" s="45"/>
      <x:c r="O58" s="48" t="str">
        <x:f>IF(B58="","",AVERAGE(IFERROR(VLOOKUP(D58,'Справочники'!$A$5:$B$14,2,FALSE),0),IFERROR(VLOOKUP(E58,'Справочники'!$D$5:$E$12,2,FALSE),0),IFERROR(VLOOKUP(F58,'Справочники'!$G$5:$H$12,2,FALSE),0),IFERROR(VLOOKUP(G58,'Справочники'!$J$5:$K$12,2,FALSE),0)))</x:f>
      </x:c>
      <x:c r="P58" s="36"/>
    </x:row>
    <x:row r="59" ht="44" customHeight="1">
      <x:c r="A59" s="39"/>
      <x:c r="B59" s="36"/>
      <x:c r="C59" s="36"/>
      <x:c r="D59" s="42"/>
      <x:c r="E59" s="42"/>
      <x:c r="F59" s="42"/>
      <x:c r="G59" s="42"/>
      <x:c r="H59" s="42"/>
      <x:c r="I59" s="42"/>
      <x:c r="J59" s="36"/>
      <x:c r="K59" s="36"/>
      <x:c r="L59" s="36"/>
      <x:c r="M59" s="36"/>
      <x:c r="N59" s="45"/>
      <x:c r="O59" s="48" t="str">
        <x:f>IF(B59="","",AVERAGE(IFERROR(VLOOKUP(D59,'Справочники'!$A$5:$B$14,2,FALSE),0),IFERROR(VLOOKUP(E59,'Справочники'!$D$5:$E$12,2,FALSE),0),IFERROR(VLOOKUP(F59,'Справочники'!$G$5:$H$12,2,FALSE),0),IFERROR(VLOOKUP(G59,'Справочники'!$J$5:$K$12,2,FALSE),0)))</x:f>
      </x:c>
      <x:c r="P59" s="36"/>
    </x:row>
    <x:row r="60" ht="44" customHeight="1">
      <x:c r="A60" s="39"/>
      <x:c r="B60" s="36"/>
      <x:c r="C60" s="36"/>
      <x:c r="D60" s="42"/>
      <x:c r="E60" s="42"/>
      <x:c r="F60" s="42"/>
      <x:c r="G60" s="42"/>
      <x:c r="H60" s="42"/>
      <x:c r="I60" s="42"/>
      <x:c r="J60" s="36"/>
      <x:c r="K60" s="36"/>
      <x:c r="L60" s="36"/>
      <x:c r="M60" s="36"/>
      <x:c r="N60" s="45"/>
      <x:c r="O60" s="48" t="str">
        <x:f>IF(B60="","",AVERAGE(IFERROR(VLOOKUP(D60,'Справочники'!$A$5:$B$14,2,FALSE),0),IFERROR(VLOOKUP(E60,'Справочники'!$D$5:$E$12,2,FALSE),0),IFERROR(VLOOKUP(F60,'Справочники'!$G$5:$H$12,2,FALSE),0),IFERROR(VLOOKUP(G60,'Справочники'!$J$5:$K$12,2,FALSE),0)))</x:f>
      </x:c>
      <x:c r="P60" s="36"/>
    </x:row>
    <x:row r="61" ht="44" customHeight="1">
      <x:c r="A61" s="39"/>
      <x:c r="B61" s="36"/>
      <x:c r="C61" s="36"/>
      <x:c r="D61" s="42"/>
      <x:c r="E61" s="42"/>
      <x:c r="F61" s="42"/>
      <x:c r="G61" s="42"/>
      <x:c r="H61" s="42"/>
      <x:c r="I61" s="42"/>
      <x:c r="J61" s="36"/>
      <x:c r="K61" s="36"/>
      <x:c r="L61" s="36"/>
      <x:c r="M61" s="36"/>
      <x:c r="N61" s="45"/>
      <x:c r="O61" s="48" t="str">
        <x:f>IF(B61="","",AVERAGE(IFERROR(VLOOKUP(D61,'Справочники'!$A$5:$B$14,2,FALSE),0),IFERROR(VLOOKUP(E61,'Справочники'!$D$5:$E$12,2,FALSE),0),IFERROR(VLOOKUP(F61,'Справочники'!$G$5:$H$12,2,FALSE),0),IFERROR(VLOOKUP(G61,'Справочники'!$J$5:$K$12,2,FALSE),0)))</x:f>
      </x:c>
      <x:c r="P61" s="36"/>
    </x:row>
    <x:row r="62" ht="44" customHeight="1">
      <x:c r="A62" s="39"/>
      <x:c r="B62" s="36"/>
      <x:c r="C62" s="36"/>
      <x:c r="D62" s="42"/>
      <x:c r="E62" s="42"/>
      <x:c r="F62" s="42"/>
      <x:c r="G62" s="42"/>
      <x:c r="H62" s="42"/>
      <x:c r="I62" s="42"/>
      <x:c r="J62" s="36"/>
      <x:c r="K62" s="36"/>
      <x:c r="L62" s="36"/>
      <x:c r="M62" s="36"/>
      <x:c r="N62" s="45"/>
      <x:c r="O62" s="48" t="str">
        <x:f>IF(B62="","",AVERAGE(IFERROR(VLOOKUP(D62,'Справочники'!$A$5:$B$14,2,FALSE),0),IFERROR(VLOOKUP(E62,'Справочники'!$D$5:$E$12,2,FALSE),0),IFERROR(VLOOKUP(F62,'Справочники'!$G$5:$H$12,2,FALSE),0),IFERROR(VLOOKUP(G62,'Справочники'!$J$5:$K$12,2,FALSE),0)))</x:f>
      </x:c>
      <x:c r="P62" s="36"/>
    </x:row>
    <x:row r="63" ht="44" customHeight="1">
      <x:c r="A63" s="39"/>
      <x:c r="B63" s="36"/>
      <x:c r="C63" s="36"/>
      <x:c r="D63" s="42"/>
      <x:c r="E63" s="42"/>
      <x:c r="F63" s="42"/>
      <x:c r="G63" s="42"/>
      <x:c r="H63" s="42"/>
      <x:c r="I63" s="42"/>
      <x:c r="J63" s="36"/>
      <x:c r="K63" s="36"/>
      <x:c r="L63" s="36"/>
      <x:c r="M63" s="36"/>
      <x:c r="N63" s="45"/>
      <x:c r="O63" s="48" t="str">
        <x:f>IF(B63="","",AVERAGE(IFERROR(VLOOKUP(D63,'Справочники'!$A$5:$B$14,2,FALSE),0),IFERROR(VLOOKUP(E63,'Справочники'!$D$5:$E$12,2,FALSE),0),IFERROR(VLOOKUP(F63,'Справочники'!$G$5:$H$12,2,FALSE),0),IFERROR(VLOOKUP(G63,'Справочники'!$J$5:$K$12,2,FALSE),0)))</x:f>
      </x:c>
      <x:c r="P63" s="36"/>
    </x:row>
    <x:row r="64" ht="44" customHeight="1">
      <x:c r="A64" s="39"/>
      <x:c r="B64" s="36"/>
      <x:c r="C64" s="36"/>
      <x:c r="D64" s="42"/>
      <x:c r="E64" s="42"/>
      <x:c r="F64" s="42"/>
      <x:c r="G64" s="42"/>
      <x:c r="H64" s="42"/>
      <x:c r="I64" s="42"/>
      <x:c r="J64" s="36"/>
      <x:c r="K64" s="36"/>
      <x:c r="L64" s="36"/>
      <x:c r="M64" s="36"/>
      <x:c r="N64" s="45"/>
      <x:c r="O64" s="48" t="str">
        <x:f>IF(B64="","",AVERAGE(IFERROR(VLOOKUP(D64,'Справочники'!$A$5:$B$14,2,FALSE),0),IFERROR(VLOOKUP(E64,'Справочники'!$D$5:$E$12,2,FALSE),0),IFERROR(VLOOKUP(F64,'Справочники'!$G$5:$H$12,2,FALSE),0),IFERROR(VLOOKUP(G64,'Справочники'!$J$5:$K$12,2,FALSE),0)))</x:f>
      </x:c>
      <x:c r="P64" s="36"/>
    </x:row>
    <x:row r="65" ht="44" customHeight="1">
      <x:c r="A65" s="39"/>
      <x:c r="B65" s="36"/>
      <x:c r="C65" s="36"/>
      <x:c r="D65" s="42"/>
      <x:c r="E65" s="42"/>
      <x:c r="F65" s="42"/>
      <x:c r="G65" s="42"/>
      <x:c r="H65" s="42"/>
      <x:c r="I65" s="42"/>
      <x:c r="J65" s="36"/>
      <x:c r="K65" s="36"/>
      <x:c r="L65" s="36"/>
      <x:c r="M65" s="36"/>
      <x:c r="N65" s="45"/>
      <x:c r="O65" s="48" t="str">
        <x:f>IF(B65="","",AVERAGE(IFERROR(VLOOKUP(D65,'Справочники'!$A$5:$B$14,2,FALSE),0),IFERROR(VLOOKUP(E65,'Справочники'!$D$5:$E$12,2,FALSE),0),IFERROR(VLOOKUP(F65,'Справочники'!$G$5:$H$12,2,FALSE),0),IFERROR(VLOOKUP(G65,'Справочники'!$J$5:$K$12,2,FALSE),0)))</x:f>
      </x:c>
      <x:c r="P65" s="36"/>
    </x:row>
    <x:row r="66" ht="44" customHeight="1">
      <x:c r="A66" s="39"/>
      <x:c r="B66" s="36"/>
      <x:c r="C66" s="36"/>
      <x:c r="D66" s="42"/>
      <x:c r="E66" s="42"/>
      <x:c r="F66" s="42"/>
      <x:c r="G66" s="42"/>
      <x:c r="H66" s="42"/>
      <x:c r="I66" s="42"/>
      <x:c r="J66" s="36"/>
      <x:c r="K66" s="36"/>
      <x:c r="L66" s="36"/>
      <x:c r="M66" s="36"/>
      <x:c r="N66" s="45"/>
      <x:c r="O66" s="48" t="str">
        <x:f>IF(B66="","",AVERAGE(IFERROR(VLOOKUP(D66,'Справочники'!$A$5:$B$14,2,FALSE),0),IFERROR(VLOOKUP(E66,'Справочники'!$D$5:$E$12,2,FALSE),0),IFERROR(VLOOKUP(F66,'Справочники'!$G$5:$H$12,2,FALSE),0),IFERROR(VLOOKUP(G66,'Справочники'!$J$5:$K$12,2,FALSE),0)))</x:f>
      </x:c>
      <x:c r="P66" s="36"/>
    </x:row>
    <x:row r="67" ht="44" customHeight="1">
      <x:c r="A67" s="39"/>
      <x:c r="B67" s="36"/>
      <x:c r="C67" s="36"/>
      <x:c r="D67" s="42"/>
      <x:c r="E67" s="42"/>
      <x:c r="F67" s="42"/>
      <x:c r="G67" s="42"/>
      <x:c r="H67" s="42"/>
      <x:c r="I67" s="42"/>
      <x:c r="J67" s="36"/>
      <x:c r="K67" s="36"/>
      <x:c r="L67" s="36"/>
      <x:c r="M67" s="36"/>
      <x:c r="N67" s="45"/>
      <x:c r="O67" s="48" t="str">
        <x:f>IF(B67="","",AVERAGE(IFERROR(VLOOKUP(D67,'Справочники'!$A$5:$B$14,2,FALSE),0),IFERROR(VLOOKUP(E67,'Справочники'!$D$5:$E$12,2,FALSE),0),IFERROR(VLOOKUP(F67,'Справочники'!$G$5:$H$12,2,FALSE),0),IFERROR(VLOOKUP(G67,'Справочники'!$J$5:$K$12,2,FALSE),0)))</x:f>
      </x:c>
      <x:c r="P67" s="36"/>
    </x:row>
    <x:row r="68" ht="44" customHeight="1">
      <x:c r="A68" s="39"/>
      <x:c r="B68" s="36"/>
      <x:c r="C68" s="36"/>
      <x:c r="D68" s="42"/>
      <x:c r="E68" s="42"/>
      <x:c r="F68" s="42"/>
      <x:c r="G68" s="42"/>
      <x:c r="H68" s="42"/>
      <x:c r="I68" s="42"/>
      <x:c r="J68" s="36"/>
      <x:c r="K68" s="36"/>
      <x:c r="L68" s="36"/>
      <x:c r="M68" s="36"/>
      <x:c r="N68" s="45"/>
      <x:c r="O68" s="48" t="str">
        <x:f>IF(B68="","",AVERAGE(IFERROR(VLOOKUP(D68,'Справочники'!$A$5:$B$14,2,FALSE),0),IFERROR(VLOOKUP(E68,'Справочники'!$D$5:$E$12,2,FALSE),0),IFERROR(VLOOKUP(F68,'Справочники'!$G$5:$H$12,2,FALSE),0),IFERROR(VLOOKUP(G68,'Справочники'!$J$5:$K$12,2,FALSE),0)))</x:f>
      </x:c>
      <x:c r="P68" s="36"/>
    </x:row>
    <x:row r="69" ht="44" customHeight="1">
      <x:c r="A69" s="39"/>
      <x:c r="B69" s="36"/>
      <x:c r="C69" s="36"/>
      <x:c r="D69" s="42"/>
      <x:c r="E69" s="42"/>
      <x:c r="F69" s="42"/>
      <x:c r="G69" s="42"/>
      <x:c r="H69" s="42"/>
      <x:c r="I69" s="42"/>
      <x:c r="J69" s="36"/>
      <x:c r="K69" s="36"/>
      <x:c r="L69" s="36"/>
      <x:c r="M69" s="36"/>
      <x:c r="N69" s="45"/>
      <x:c r="O69" s="48" t="str">
        <x:f>IF(B69="","",AVERAGE(IFERROR(VLOOKUP(D69,'Справочники'!$A$5:$B$14,2,FALSE),0),IFERROR(VLOOKUP(E69,'Справочники'!$D$5:$E$12,2,FALSE),0),IFERROR(VLOOKUP(F69,'Справочники'!$G$5:$H$12,2,FALSE),0),IFERROR(VLOOKUP(G69,'Справочники'!$J$5:$K$12,2,FALSE),0)))</x:f>
      </x:c>
      <x:c r="P69" s="36"/>
    </x:row>
    <x:row r="70" ht="44" customHeight="1">
      <x:c r="A70" s="39"/>
      <x:c r="B70" s="36"/>
      <x:c r="C70" s="36"/>
      <x:c r="D70" s="42"/>
      <x:c r="E70" s="42"/>
      <x:c r="F70" s="42"/>
      <x:c r="G70" s="42"/>
      <x:c r="H70" s="42"/>
      <x:c r="I70" s="42"/>
      <x:c r="J70" s="36"/>
      <x:c r="K70" s="36"/>
      <x:c r="L70" s="36"/>
      <x:c r="M70" s="36"/>
      <x:c r="N70" s="45"/>
      <x:c r="O70" s="48" t="str">
        <x:f>IF(B70="","",AVERAGE(IFERROR(VLOOKUP(D70,'Справочники'!$A$5:$B$14,2,FALSE),0),IFERROR(VLOOKUP(E70,'Справочники'!$D$5:$E$12,2,FALSE),0),IFERROR(VLOOKUP(F70,'Справочники'!$G$5:$H$12,2,FALSE),0),IFERROR(VLOOKUP(G70,'Справочники'!$J$5:$K$12,2,FALSE),0)))</x:f>
      </x:c>
      <x:c r="P70" s="36"/>
    </x:row>
    <x:row r="71" ht="44" customHeight="1">
      <x:c r="A71" s="39"/>
      <x:c r="B71" s="36"/>
      <x:c r="C71" s="36"/>
      <x:c r="D71" s="42"/>
      <x:c r="E71" s="42"/>
      <x:c r="F71" s="42"/>
      <x:c r="G71" s="42"/>
      <x:c r="H71" s="42"/>
      <x:c r="I71" s="42"/>
      <x:c r="J71" s="36"/>
      <x:c r="K71" s="36"/>
      <x:c r="L71" s="36"/>
      <x:c r="M71" s="36"/>
      <x:c r="N71" s="45"/>
      <x:c r="O71" s="48" t="str">
        <x:f>IF(B71="","",AVERAGE(IFERROR(VLOOKUP(D71,'Справочники'!$A$5:$B$14,2,FALSE),0),IFERROR(VLOOKUP(E71,'Справочники'!$D$5:$E$12,2,FALSE),0),IFERROR(VLOOKUP(F71,'Справочники'!$G$5:$H$12,2,FALSE),0),IFERROR(VLOOKUP(G71,'Справочники'!$J$5:$K$12,2,FALSE),0)))</x:f>
      </x:c>
      <x:c r="P71" s="36"/>
    </x:row>
    <x:row r="72" ht="44" customHeight="1">
      <x:c r="A72" s="39"/>
      <x:c r="B72" s="36"/>
      <x:c r="C72" s="36"/>
      <x:c r="D72" s="42"/>
      <x:c r="E72" s="42"/>
      <x:c r="F72" s="42"/>
      <x:c r="G72" s="42"/>
      <x:c r="H72" s="42"/>
      <x:c r="I72" s="42"/>
      <x:c r="J72" s="36"/>
      <x:c r="K72" s="36"/>
      <x:c r="L72" s="36"/>
      <x:c r="M72" s="36"/>
      <x:c r="N72" s="45"/>
      <x:c r="O72" s="48" t="str">
        <x:f>IF(B72="","",AVERAGE(IFERROR(VLOOKUP(D72,'Справочники'!$A$5:$B$14,2,FALSE),0),IFERROR(VLOOKUP(E72,'Справочники'!$D$5:$E$12,2,FALSE),0),IFERROR(VLOOKUP(F72,'Справочники'!$G$5:$H$12,2,FALSE),0),IFERROR(VLOOKUP(G72,'Справочники'!$J$5:$K$12,2,FALSE),0)))</x:f>
      </x:c>
      <x:c r="P72" s="36"/>
    </x:row>
    <x:row r="73" ht="44" customHeight="1">
      <x:c r="A73" s="39"/>
      <x:c r="B73" s="36"/>
      <x:c r="C73" s="36"/>
      <x:c r="D73" s="42"/>
      <x:c r="E73" s="42"/>
      <x:c r="F73" s="42"/>
      <x:c r="G73" s="42"/>
      <x:c r="H73" s="42"/>
      <x:c r="I73" s="42"/>
      <x:c r="J73" s="36"/>
      <x:c r="K73" s="36"/>
      <x:c r="L73" s="36"/>
      <x:c r="M73" s="36"/>
      <x:c r="N73" s="45"/>
      <x:c r="O73" s="48" t="str">
        <x:f>IF(B73="","",AVERAGE(IFERROR(VLOOKUP(D73,'Справочники'!$A$5:$B$14,2,FALSE),0),IFERROR(VLOOKUP(E73,'Справочники'!$D$5:$E$12,2,FALSE),0),IFERROR(VLOOKUP(F73,'Справочники'!$G$5:$H$12,2,FALSE),0),IFERROR(VLOOKUP(G73,'Справочники'!$J$5:$K$12,2,FALSE),0)))</x:f>
      </x:c>
      <x:c r="P73" s="36"/>
    </x:row>
    <x:row r="74" ht="44" customHeight="1">
      <x:c r="A74" s="39"/>
      <x:c r="B74" s="36"/>
      <x:c r="C74" s="36"/>
      <x:c r="D74" s="42"/>
      <x:c r="E74" s="42"/>
      <x:c r="F74" s="42"/>
      <x:c r="G74" s="42"/>
      <x:c r="H74" s="42"/>
      <x:c r="I74" s="42"/>
      <x:c r="J74" s="36"/>
      <x:c r="K74" s="36"/>
      <x:c r="L74" s="36"/>
      <x:c r="M74" s="36"/>
      <x:c r="N74" s="45"/>
      <x:c r="O74" s="48" t="str">
        <x:f>IF(B74="","",AVERAGE(IFERROR(VLOOKUP(D74,'Справочники'!$A$5:$B$14,2,FALSE),0),IFERROR(VLOOKUP(E74,'Справочники'!$D$5:$E$12,2,FALSE),0),IFERROR(VLOOKUP(F74,'Справочники'!$G$5:$H$12,2,FALSE),0),IFERROR(VLOOKUP(G74,'Справочники'!$J$5:$K$12,2,FALSE),0)))</x:f>
      </x:c>
      <x:c r="P74" s="36"/>
    </x:row>
    <x:row r="75" ht="44" customHeight="1">
      <x:c r="A75" s="40"/>
      <x:c r="B75" s="37"/>
      <x:c r="C75" s="37"/>
      <x:c r="D75" s="43"/>
      <x:c r="E75" s="43"/>
      <x:c r="F75" s="43"/>
      <x:c r="G75" s="43"/>
      <x:c r="H75" s="43"/>
      <x:c r="I75" s="43"/>
      <x:c r="J75" s="37"/>
      <x:c r="K75" s="37"/>
      <x:c r="L75" s="37"/>
      <x:c r="M75" s="37"/>
      <x:c r="N75" s="46"/>
      <x:c r="O75" s="49" t="str">
        <x:f>IF(B75="","",AVERAGE(IFERROR(VLOOKUP(D75,'Справочники'!$A$5:$B$14,2,FALSE),0),IFERROR(VLOOKUP(E75,'Справочники'!$D$5:$E$12,2,FALSE),0),IFERROR(VLOOKUP(F75,'Справочники'!$G$5:$H$12,2,FALSE),0),IFERROR(VLOOKUP(G75,'Справочники'!$J$5:$K$12,2,FALSE),0)))</x:f>
      </x:c>
      <x:c r="P75" s="37"/>
    </x:row>
  </x:sheetData>
  <x:mergeCells>
    <x:mergeCell ref="A1:P1"/>
    <x:mergeCell ref="A2:P2"/>
    <x:mergeCell ref="A3:B3"/>
    <x:mergeCell ref="C3:D3"/>
    <x:mergeCell ref="E3:F3"/>
    <x:mergeCell ref="G3:H3"/>
    <x:mergeCell ref="I3:J3"/>
    <x:mergeCell ref="K3:L3"/>
    <x:mergeCell ref="M3:N3"/>
    <x:mergeCell ref="O3:P3"/>
  </x:mergeCells>
  <x:conditionalFormatting sqref="D6:D75">
    <x:cfRule type="containsText" dxfId="264" priority="1" operator="containsText" text="Готово local/mock"/>
    <x:cfRule type="expression" dxfId="265" priority="2">
      <x:formula>$D6="Готово"</x:formula>
    </x:cfRule>
    <x:cfRule type="containsText" dxfId="266" priority="3" operator="containsText" text="Review"/>
    <x:cfRule type="containsText" dxfId="267" priority="4" operator="containsText" text="Draft"/>
    <x:cfRule type="containsText" dxfId="268" priority="5" operator="containsText" text="Отсутствует"/>
    <x:cfRule type="containsText" dxfId="269" priority="6" operator="containsText" text="В работе"/>
  </x:conditionalFormatting>
  <x:conditionalFormatting sqref="E6:E75">
    <x:cfRule type="containsText" dxfId="270" priority="7" operator="containsText" text="Accepted"/>
    <x:cfRule type="containsText" dxfId="271" priority="8" operator="containsText" text="Canonical"/>
    <x:cfRule type="containsText" dxfId="272" priority="9" operator="containsText" text="Approved"/>
    <x:cfRule type="containsText" dxfId="273" priority="10" operator="containsText" text="Review"/>
    <x:cfRule type="containsText" dxfId="274" priority="11" operator="containsText" text="Draft"/>
    <x:cfRule type="containsText" dxfId="275" priority="12" operator="containsText" text="Отсутствует"/>
  </x:conditionalFormatting>
  <x:conditionalFormatting sqref="F6:F75">
    <x:cfRule type="expression" dxfId="276" priority="13">
      <x:formula>$F6="Production"</x:formula>
    </x:cfRule>
    <x:cfRule type="expression" dxfId="277" priority="14">
      <x:formula>$F6="Local/mock"</x:formula>
    </x:cfRule>
    <x:cfRule type="expression" dxfId="278" priority="15">
      <x:formula>$F6="Pure domain"</x:formula>
    </x:cfRule>
    <x:cfRule type="expression" dxfId="279" priority="16">
      <x:formula>$F6="Отсутствует"</x:formula>
    </x:cfRule>
    <x:cfRule type="expression" dxfId="280" priority="17">
      <x:formula>$F6="Gated"</x:formula>
    </x:cfRule>
  </x:conditionalFormatting>
  <x:conditionalFormatting sqref="G6:G75">
    <x:cfRule type="containsText" dxfId="281" priority="18" operator="containsText" text="Текущие зелёные"/>
    <x:cfRule type="containsText" dxfId="282" priority="19" operator="containsText" text="Исторические зелёные"/>
    <x:cfRule type="containsText" dxfId="283" priority="20" operator="containsText" text="Device pending"/>
    <x:cfRule type="containsText" dxfId="284" priority="21" operator="containsText" text="Не запускались"/>
  </x:conditionalFormatting>
  <x:conditionalFormatting sqref="I6:I75">
    <x:cfRule type="containsText" dxfId="285" priority="22" operator="containsText" text="P0"/>
    <x:cfRule type="containsText" dxfId="286" priority="23" operator="containsText" text="P1"/>
    <x:cfRule type="containsText" dxfId="287" priority="24" operator="containsText" text="P2"/>
  </x:conditionalFormatting>
  <x:conditionalFormatting sqref="O6:O75">
    <x:cfRule type="dataBar" priority="25">
      <x:dataBar>
        <x:cfvo type="min"/>
        <x:cfvo type="max"/>
        <x:color rgb="FF2F6B5C"/>
      </x:dataBar>
      <x:extLst>
        <x:ext xmlns:x14="http://schemas.microsoft.com/office/spreadsheetml/2009/9/main" uri="{B025F937-C7B1-47D3-B67F-A62EFF666E3E}">
          <x14:id>{23927D77-F5B3-A834-FABF-6AEC8366F245}</x14:id>
        </x:ext>
      </x:extLst>
    </x:cfRule>
  </x:conditionalFormatting>
  <x:dataValidations count="5">
    <x:dataValidation type="list" sqref="D6:D75">
      <x:formula1>'Справочники'!$A$5:$A$14</x:formula1>
    </x:dataValidation>
    <x:dataValidation type="list" sqref="E6:E75">
      <x:formula1>'Справочники'!$D$5:$D$12</x:formula1>
    </x:dataValidation>
    <x:dataValidation type="list" sqref="F6:F75">
      <x:formula1>'Справочники'!$G$5:$G$12</x:formula1>
    </x:dataValidation>
    <x:dataValidation type="list" sqref="G6:G75">
      <x:formula1>'Справочники'!$J$5:$J$12</x:formula1>
    </x:dataValidation>
    <x:dataValidation type="list" sqref="I6:I75">
      <x:formula1>'Справочники'!$M$5:$M$9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9e85c246176458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5" id="{23927D77-F5B3-A834-FABF-6AEC8366F245}">
            <x14:dataBar gradient="1">
              <x14:cfvo type="min"/>
              <x14:cfvo type="max"/>
              <x14:fillColor rgb="FF2F6B5C"/>
            </x14:dataBar>
          </x14:cfRule>
          <xm:sqref>O6:O75</xm:sqref>
        </x14:conditionalFormatting>
      </x14:conditionalFormattings>
    </x:ext>
  </x:extLst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1" hidden="0" customWidth="1"/>
    <x:col min="3" max="3" width="20" hidden="0" customWidth="1"/>
    <x:col min="4" max="4" width="18" hidden="0" customWidth="1"/>
    <x:col min="5" max="5" width="20" hidden="0" customWidth="1"/>
    <x:col min="6" max="6" width="16" hidden="0" customWidth="1"/>
    <x:col min="7" max="7" width="20" hidden="0" customWidth="1"/>
    <x:col min="8" max="8" width="25" hidden="0" customWidth="1"/>
    <x:col min="9" max="9" width="11" hidden="0" customWidth="1"/>
    <x:col min="10" max="10" width="40" hidden="0" customWidth="1"/>
    <x:col min="11" max="11" width="28" hidden="0" customWidth="1"/>
    <x:col min="12" max="12" width="20" hidden="0" customWidth="1"/>
    <x:col min="13" max="13" width="48" hidden="0" customWidth="1"/>
    <x:col min="14" max="14" width="14" hidden="0" customWidth="1"/>
    <x:col min="15" max="15" width="13" hidden="0" customWidth="1"/>
    <x:col min="16" max="16" width="34" hidden="0" customWidth="1"/>
  </x:cols>
  <x:sheetData>
    <x:row r="1" ht="38" customHeight="1">
      <x:c r="A1" s="3" t="str">
        <x:v>DOCUMENTATION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2" customHeight="1">
      <x:c r="A2" s="7" t="str">
        <x:v>Governance layer · Document families, authority, missing specs, drift and file inventory.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3">
      <x:c r="A3" s="12" t="e">
        <x:f>HYPERLINK("#'Паук'!A1","← Вернуться к пауку")</x:f>
        <x:v>HYPERLINK is not implemented. linkLocation=#'Паук'!A1, friendlyName=← Вернуться к пауку</x:v>
      </x:c>
      <x:c r="B3" s="12"/>
      <x:c r="C3" t="str">
        <x:v>Прогресс</x:v>
      </x:c>
      <x:c r="E3" s="15" t="n">
        <x:f>IFERROR(SUM(O6:O75)/COUNTA(B6:B75),0)</x:f>
        <x:v>0.6668749999999999</x:v>
      </x:c>
      <x:c r="F3" s="15"/>
      <x:c r="G3" t="str">
        <x:v>Открытые P0/P1</x:v>
      </x:c>
      <x:c r="I3" s="18" t="n">
        <x:f>COUNTIFS(I6:I75,"P0",O6:O75,"&lt;1")+COUNTIFS(I6:I75,"P1",O6:O75,"&lt;1")</x:f>
        <x:v>18</x:v>
      </x:c>
      <x:c r="J3" s="18"/>
      <x:c r="K3" t="str">
        <x:v>Runtime отсутствует</x:v>
      </x:c>
      <x:c r="M3" s="21" t="n">
        <x:f>COUNTIF(F6:F75,"Отсутствует")</x:f>
        <x:v>1</x:v>
      </x:c>
      <x:c r="N3" s="21"/>
      <x:c r="O3" s="24" t="e">
        <x:f>HYPERLINK("#'Реестр файлов'!A1","Реестр файлов →")</x:f>
        <x:v>HYPERLINK is not implemented. linkLocation=#'Реестр файлов'!A1, friendlyName=Реестр файлов →</x:v>
      </x:c>
      <x:c r="P3" s="24"/>
    </x:row>
    <x:row r="5">
      <x:c r="A5" s="27" t="str">
        <x:v>ID</x:v>
      </x:c>
      <x:c r="B5" s="27" t="str">
        <x:v>Подсистема / deliverable</x:v>
      </x:c>
      <x:c r="C5" s="27" t="str">
        <x:v>Тип</x:v>
      </x:c>
      <x:c r="D5" s="27" t="str">
        <x:v>Артефакт</x:v>
      </x:c>
      <x:c r="E5" s="27" t="str">
        <x:v>Документация</x:v>
      </x:c>
      <x:c r="F5" s="27" t="str">
        <x:v>Runtime</x:v>
      </x:c>
      <x:c r="G5" s="27" t="str">
        <x:v>Проверки</x:v>
      </x:c>
      <x:c r="H5" s="27" t="str">
        <x:v>Gate / authority</x:v>
      </x:c>
      <x:c r="I5" s="27" t="str">
        <x:v>Приоритет</x:v>
      </x:c>
      <x:c r="J5" s="27" t="str">
        <x:v>Следующее действие</x:v>
      </x:c>
      <x:c r="K5" s="27" t="str">
        <x:v>Блокер</x:v>
      </x:c>
      <x:c r="L5" s="27" t="str">
        <x:v>Owner</x:v>
      </x:c>
      <x:c r="M5" s="27" t="str">
        <x:v>Источник / путь</x:v>
      </x:c>
      <x:c r="N5" s="27" t="str">
        <x:v>Обновлено</x:v>
      </x:c>
      <x:c r="O5" s="27" t="str">
        <x:v>Готовность</x:v>
      </x:c>
      <x:c r="P5" s="27" t="str">
        <x:v>Комментарий</x:v>
      </x:c>
    </x:row>
    <x:row r="6" ht="44" customHeight="1">
      <x:c r="A6" s="38" t="str">
        <x:v>DOC-01</x:v>
      </x:c>
      <x:c r="B6" s="35" t="str">
        <x:v>All docs (119 files)</x:v>
      </x:c>
      <x:c r="C6" s="35" t="str">
        <x:v>Inventory</x:v>
      </x:c>
      <x:c r="D6" s="41" t="str">
        <x:v>Готово</x:v>
      </x:c>
      <x:c r="E6" s="41" t="str">
        <x:v>Approved</x:v>
      </x:c>
      <x:c r="F6" s="41" t="str">
        <x:v>Не требуется</x:v>
      </x:c>
      <x:c r="G6" s="41" t="str">
        <x:v>Частично</x:v>
      </x:c>
      <x:c r="H6" s="41" t="str">
        <x:v>File registry</x:v>
      </x:c>
      <x:c r="I6" s="41" t="str">
        <x:v>P0</x:v>
      </x:c>
      <x:c r="J6" s="35" t="str">
        <x:v>Использовать лист «Реестр файлов»</x:v>
      </x:c>
      <x:c r="K6" s="35" t="str">
        <x:v>Statuses differ</x:v>
      </x:c>
      <x:c r="L6" s="35" t="str">
        <x:v>Documentation owner</x:v>
      </x:c>
      <x:c r="M6" s="35" t="str">
        <x:v>docs</x:v>
      </x:c>
      <x:c r="N6" s="44" t="n">
        <x:v>46250</x:v>
      </x:c>
      <x:c r="O6" s="47" t="n">
        <x:f>IF(B6="","",AVERAGE(IFERROR(VLOOKUP(D6,'Справочники'!$A$5:$B$14,2,FALSE),0),IFERROR(VLOOKUP(E6,'Справочники'!$D$5:$E$12,2,FALSE),0),IFERROR(VLOOKUP(F6,'Справочники'!$G$5:$H$12,2,FALSE),0),IFERROR(VLOOKUP(G6,'Справочники'!$J$5:$K$12,2,FALSE),0)))</x:f>
        <x:v>0.825</x:v>
      </x:c>
      <x:c r="P6" s="35" t="str"/>
    </x:row>
    <x:row r="7" ht="44" customHeight="1">
      <x:c r="A7" s="39" t="str">
        <x:v>DOC-02</x:v>
      </x:c>
      <x:c r="B7" s="36" t="str">
        <x:v>Product docs (65)</x:v>
      </x:c>
      <x:c r="C7" s="36" t="str">
        <x:v>Document family</x:v>
      </x:c>
      <x:c r="D7" s="42" t="str">
        <x:v>Готово</x:v>
      </x:c>
      <x:c r="E7" s="42" t="str">
        <x:v>Частично</x:v>
      </x:c>
      <x:c r="F7" s="42" t="str">
        <x:v>Не требуется</x:v>
      </x:c>
      <x:c r="G7" s="42" t="str">
        <x:v>Частично</x:v>
      </x:c>
      <x:c r="H7" s="42" t="str">
        <x:v>Mixed authority</x:v>
      </x:c>
      <x:c r="I7" s="42" t="str">
        <x:v>P0</x:v>
      </x:c>
      <x:c r="J7" s="36" t="str">
        <x:v>Закрывать Draft/Review по owners</x:v>
      </x:c>
      <x:c r="K7" s="36" t="str">
        <x:v>Many target docs</x:v>
      </x:c>
      <x:c r="L7" s="36" t="str">
        <x:v>Product owners</x:v>
      </x:c>
      <x:c r="M7" s="36" t="str">
        <x:v>docs/product</x:v>
      </x:c>
      <x:c r="N7" s="45" t="n">
        <x:v>46250</x:v>
      </x:c>
      <x:c r="O7" s="48" t="n">
        <x:f>IF(B7="","",AVERAGE(IFERROR(VLOOKUP(D7,'Справочники'!$A$5:$B$14,2,FALSE),0),IFERROR(VLOOKUP(E7,'Справочники'!$D$5:$E$12,2,FALSE),0),IFERROR(VLOOKUP(F7,'Справочники'!$G$5:$H$12,2,FALSE),0),IFERROR(VLOOKUP(G7,'Справочники'!$J$5:$K$12,2,FALSE),0)))</x:f>
        <x:v>0.6</x:v>
      </x:c>
      <x:c r="P7" s="36" t="str"/>
    </x:row>
    <x:row r="8" ht="44" customHeight="1">
      <x:c r="A8" s="39" t="str">
        <x:v>DOC-03</x:v>
      </x:c>
      <x:c r="B8" s="36" t="str">
        <x:v>Architecture docs (13)</x:v>
      </x:c>
      <x:c r="C8" s="36" t="str">
        <x:v>Document family</x:v>
      </x:c>
      <x:c r="D8" s="42" t="str">
        <x:v>Готово</x:v>
      </x:c>
      <x:c r="E8" s="42" t="str">
        <x:v>Approved</x:v>
      </x:c>
      <x:c r="F8" s="42" t="str">
        <x:v>Не требуется</x:v>
      </x:c>
      <x:c r="G8" s="42" t="str">
        <x:v>Исторические зелёные</x:v>
      </x:c>
      <x:c r="H8" s="42" t="str">
        <x:v>Below ADR</x:v>
      </x:c>
      <x:c r="I8" s="42" t="str">
        <x:v>P1</x:v>
      </x:c>
      <x:c r="J8" s="36" t="str">
        <x:v>Синхронизировать target/current boundaries</x:v>
      </x:c>
      <x:c r="K8" s="36" t="str">
        <x:v>Backend target absent</x:v>
      </x:c>
      <x:c r="L8" s="36" t="str">
        <x:v>Architecture</x:v>
      </x:c>
      <x:c r="M8" s="36" t="str">
        <x:v>docs/architecture</x:v>
      </x:c>
      <x:c r="N8" s="45" t="n">
        <x:v>46250</x:v>
      </x:c>
      <x:c r="O8" s="48" t="n">
        <x:f>IF(B8="","",AVERAGE(IFERROR(VLOOKUP(D8,'Справочники'!$A$5:$B$14,2,FALSE),0),IFERROR(VLOOKUP(E8,'Справочники'!$D$5:$E$12,2,FALSE),0),IFERROR(VLOOKUP(F8,'Справочники'!$G$5:$H$12,2,FALSE),0),IFERROR(VLOOKUP(G8,'Справочники'!$J$5:$K$12,2,FALSE),0)))</x:f>
        <x:v>0.8999999999999999</x:v>
      </x:c>
      <x:c r="P8" s="36" t="str"/>
    </x:row>
    <x:row r="9" ht="44" customHeight="1">
      <x:c r="A9" s="39" t="str">
        <x:v>DOC-04</x:v>
      </x:c>
      <x:c r="B9" s="36" t="str">
        <x:v>Accepted ADR (9)</x:v>
      </x:c>
      <x:c r="C9" s="36" t="str">
        <x:v>Document family</x:v>
      </x:c>
      <x:c r="D9" s="42" t="str">
        <x:v>Готово</x:v>
      </x:c>
      <x:c r="E9" s="42" t="str">
        <x:v>Accepted</x:v>
      </x:c>
      <x:c r="F9" s="42" t="str">
        <x:v>Не требуется</x:v>
      </x:c>
      <x:c r="G9" s="42" t="str">
        <x:v>Текущие зелёные</x:v>
      </x:c>
      <x:c r="H9" s="42" t="str">
        <x:v>Highest authority</x:v>
      </x:c>
      <x:c r="I9" s="42" t="str">
        <x:v>P0</x:v>
      </x:c>
      <x:c r="J9" s="36" t="str">
        <x:v>Не редактировать; supersede новым ADR</x:v>
      </x:c>
      <x:c r="K9" s="36" t="str"/>
      <x:c r="L9" s="36" t="str">
        <x:v>Architecture</x:v>
      </x:c>
      <x:c r="M9" s="36" t="str">
        <x:v>docs/adr</x:v>
      </x:c>
      <x:c r="N9" s="45" t="n">
        <x:v>46250</x:v>
      </x:c>
      <x:c r="O9" s="48" t="n">
        <x:f>IF(B9="","",AVERAGE(IFERROR(VLOOKUP(D9,'Справочники'!$A$5:$B$14,2,FALSE),0),IFERROR(VLOOKUP(E9,'Справочники'!$D$5:$E$12,2,FALSE),0),IFERROR(VLOOKUP(F9,'Справочники'!$G$5:$H$12,2,FALSE),0),IFERROR(VLOOKUP(G9,'Справочники'!$J$5:$K$12,2,FALSE),0)))</x:f>
        <x:v>1</x:v>
      </x:c>
      <x:c r="P9" s="36" t="str"/>
    </x:row>
    <x:row r="10" ht="44" customHeight="1">
      <x:c r="A10" s="39" t="str">
        <x:v>DOC-05</x:v>
      </x:c>
      <x:c r="B10" s="36" t="str">
        <x:v>Runbooks (6)</x:v>
      </x:c>
      <x:c r="C10" s="36" t="str">
        <x:v>Document family</x:v>
      </x:c>
      <x:c r="D10" s="42" t="str">
        <x:v>Готово</x:v>
      </x:c>
      <x:c r="E10" s="42" t="str">
        <x:v>Approved</x:v>
      </x:c>
      <x:c r="F10" s="42" t="str">
        <x:v>Не требуется</x:v>
      </x:c>
      <x:c r="G10" s="42" t="str">
        <x:v>Частично</x:v>
      </x:c>
      <x:c r="H10" s="42" t="str">
        <x:v>Production exercise required</x:v>
      </x:c>
      <x:c r="I10" s="42" t="str">
        <x:v>P1</x:v>
      </x:c>
      <x:c r="J10" s="36" t="str">
        <x:v>Проверить против фактической topology</x:v>
      </x:c>
      <x:c r="K10" s="36" t="str">
        <x:v>Runtime absent</x:v>
      </x:c>
      <x:c r="L10" s="36" t="str">
        <x:v>Operations</x:v>
      </x:c>
      <x:c r="M10" s="36" t="str">
        <x:v>docs/runbooks</x:v>
      </x:c>
      <x:c r="N10" s="45" t="n">
        <x:v>46250</x:v>
      </x:c>
      <x:c r="O10" s="48" t="n">
        <x:f>IF(B10="","",AVERAGE(IFERROR(VLOOKUP(D10,'Справочники'!$A$5:$B$14,2,FALSE),0),IFERROR(VLOOKUP(E10,'Справочники'!$D$5:$E$12,2,FALSE),0),IFERROR(VLOOKUP(F10,'Справочники'!$G$5:$H$12,2,FALSE),0),IFERROR(VLOOKUP(G10,'Справочники'!$J$5:$K$12,2,FALSE),0)))</x:f>
        <x:v>0.825</x:v>
      </x:c>
      <x:c r="P10" s="36" t="str"/>
    </x:row>
    <x:row r="11" ht="44" customHeight="1">
      <x:c r="A11" s="39" t="str">
        <x:v>DOC-06</x:v>
      </x:c>
      <x:c r="B11" s="36" t="str">
        <x:v>Backend registry</x:v>
      </x:c>
      <x:c r="C11" s="36" t="str">
        <x:v>Canonical coordination</x:v>
      </x:c>
      <x:c r="D11" s="42" t="str">
        <x:v>Готово</x:v>
      </x:c>
      <x:c r="E11" s="42" t="str">
        <x:v>Approved</x:v>
      </x:c>
      <x:c r="F11" s="42" t="str">
        <x:v>Не требуется</x:v>
      </x:c>
      <x:c r="G11" s="42" t="str">
        <x:v>Частично</x:v>
      </x:c>
      <x:c r="H11" s="42" t="str">
        <x:v>22 BCK + 6 RUN</x:v>
      </x:c>
      <x:c r="I11" s="42" t="str">
        <x:v>P0</x:v>
      </x:c>
      <x:c r="J11" s="36" t="str">
        <x:v>Исправить BCK-04 status drift</x:v>
      </x:c>
      <x:c r="K11" s="36" t="str">
        <x:v>Registry stale row</x:v>
      </x:c>
      <x:c r="L11" s="36" t="str">
        <x:v>Architecture</x:v>
      </x:c>
      <x:c r="M11" s="36" t="str">
        <x:v>docs/product/RECHARGE_BACKEND_DELIVERY_MAP.md</x:v>
      </x:c>
      <x:c r="N11" s="45" t="n">
        <x:v>46250</x:v>
      </x:c>
      <x:c r="O11" s="48" t="n">
        <x:f>IF(B11="","",AVERAGE(IFERROR(VLOOKUP(D11,'Справочники'!$A$5:$B$14,2,FALSE),0),IFERROR(VLOOKUP(E11,'Справочники'!$D$5:$E$12,2,FALSE),0),IFERROR(VLOOKUP(F11,'Справочники'!$G$5:$H$12,2,FALSE),0),IFERROR(VLOOKUP(G11,'Справочники'!$J$5:$K$12,2,FALSE),0)))</x:f>
        <x:v>0.825</x:v>
      </x:c>
      <x:c r="P11" s="36" t="str"/>
    </x:row>
    <x:row r="12" ht="44" customHeight="1">
      <x:c r="A12" s="39" t="str">
        <x:v>DOC-07</x:v>
      </x:c>
      <x:c r="B12" s="36" t="str">
        <x:v>Profile document family</x:v>
      </x:c>
      <x:c r="C12" s="36" t="str">
        <x:v>Draft family</x:v>
      </x:c>
      <x:c r="D12" s="42" t="str">
        <x:v>Draft</x:v>
      </x:c>
      <x:c r="E12" s="42" t="str">
        <x:v>Draft</x:v>
      </x:c>
      <x:c r="F12" s="42" t="str">
        <x:v>Не требуется</x:v>
      </x:c>
      <x:c r="G12" s="42" t="str">
        <x:v>Частично</x:v>
      </x:c>
      <x:c r="H12" s="42" t="str">
        <x:v>Owner decisions</x:v>
      </x:c>
      <x:c r="I12" s="42" t="str">
        <x:v>P0</x:v>
      </x:c>
      <x:c r="J12" s="36" t="str">
        <x:v>Review Viewer/Creator/Public/Page family using index v1.5</x:v>
      </x:c>
      <x:c r="K12" s="36" t="str">
        <x:v>Open owner decisions</x:v>
      </x:c>
      <x:c r="L12" s="36" t="str">
        <x:v>Identity/Product</x:v>
      </x:c>
      <x:c r="M12" s="36" t="str">
        <x:v>docs/product/PROFILE_DOCUMENTS_INDEX.md</x:v>
      </x:c>
      <x:c r="N12" s="45" t="n">
        <x:v>46250.5</x:v>
      </x:c>
      <x:c r="O12" s="48" t="n">
        <x:f>IF(B12="","",AVERAGE(IFERROR(VLOOKUP(D12,'Справочники'!$A$5:$B$14,2,FALSE),0),IFERROR(VLOOKUP(E12,'Справочники'!$D$5:$E$12,2,FALSE),0),IFERROR(VLOOKUP(F12,'Справочники'!$G$5:$H$12,2,FALSE),0),IFERROR(VLOOKUP(G12,'Справочники'!$J$5:$K$12,2,FALSE),0)))</x:f>
        <x:v>0.48750000000000004</x:v>
      </x:c>
      <x:c r="P12" s="36" t="str">
        <x:v>Five sibling docs; Public Creator v1.10; Professional Page v2.32; obsolete changelog removed</x:v>
      </x:c>
    </x:row>
    <x:row r="13" ht="44" customHeight="1">
      <x:c r="A13" s="39" t="str">
        <x:v>DOC-08</x:v>
      </x:c>
      <x:c r="B13" s="36" t="str">
        <x:v>Launch Status</x:v>
      </x:c>
      <x:c r="C13" s="36" t="str">
        <x:v>Status registry</x:v>
      </x:c>
      <x:c r="D13" s="42" t="str">
        <x:v>Заблокировано</x:v>
      </x:c>
      <x:c r="E13" s="42" t="str">
        <x:v>Approved</x:v>
      </x:c>
      <x:c r="F13" s="42" t="str">
        <x:v>Не требуется</x:v>
      </x:c>
      <x:c r="G13" s="42" t="str">
        <x:v>Частично</x:v>
      </x:c>
      <x:c r="H13" s="42" t="str">
        <x:v>Must match current tree</x:v>
      </x:c>
      <x:c r="I13" s="42" t="str">
        <x:v>P0</x:v>
      </x:c>
      <x:c r="J13" s="36" t="str">
        <x:v>Refresh Last updated and reconcile post-08-08 facts</x:v>
      </x:c>
      <x:c r="K13" s="36" t="str">
        <x:v>Header stale at 2026-08-08</x:v>
      </x:c>
      <x:c r="L13" s="36" t="str">
        <x:v>Release owner</x:v>
      </x:c>
      <x:c r="M13" s="36" t="str">
        <x:v>docs/architecture/LAUNCH_STATUS.md</x:v>
      </x:c>
      <x:c r="N13" s="45" t="n">
        <x:v>46250.5</x:v>
      </x:c>
      <x:c r="O13" s="48" t="n">
        <x:f>IF(B13="","",AVERAGE(IFERROR(VLOOKUP(D13,'Справочники'!$A$5:$B$14,2,FALSE),0),IFERROR(VLOOKUP(E13,'Справочники'!$D$5:$E$12,2,FALSE),0),IFERROR(VLOOKUP(F13,'Справочники'!$G$5:$H$12,2,FALSE),0),IFERROR(VLOOKUP(G13,'Справочники'!$J$5:$K$12,2,FALSE),0)))</x:f>
        <x:v>0.6124999999999999</x:v>
      </x:c>
      <x:c r="P13" s="36" t="str">
        <x:v>Content contains later slices, but metadata/family reconciliation is incomplete</x:v>
      </x:c>
    </x:row>
    <x:row r="14" ht="44" customHeight="1">
      <x:c r="A14" s="39" t="str">
        <x:v>DOC-09</x:v>
      </x:c>
      <x:c r="B14" s="36" t="str">
        <x:v>Create type specs</x:v>
      </x:c>
      <x:c r="C14" s="36" t="str">
        <x:v>Coverage</x:v>
      </x:c>
      <x:c r="D14" s="42" t="str">
        <x:v>Частично</x:v>
      </x:c>
      <x:c r="E14" s="42" t="str">
        <x:v>Частично</x:v>
      </x:c>
      <x:c r="F14" s="42" t="str">
        <x:v>Не требуется</x:v>
      </x:c>
      <x:c r="G14" s="42" t="str">
        <x:v>Частично</x:v>
      </x:c>
      <x:c r="H14" s="42" t="str">
        <x:v>10 types</x:v>
      </x:c>
      <x:c r="I14" s="42" t="str">
        <x:v>P0</x:v>
      </x:c>
      <x:c r="J14" s="36" t="str">
        <x:v>Создать Activity/Bookable/Rental/Collection specs</x:v>
      </x:c>
      <x:c r="K14" s="36" t="str">
        <x:v>4 dedicated specs missing</x:v>
      </x:c>
      <x:c r="L14" s="36" t="str">
        <x:v>Create owners</x:v>
      </x:c>
      <x:c r="M14" s="36" t="str">
        <x:v>docs/product/VISION.md</x:v>
      </x:c>
      <x:c r="N14" s="45" t="n">
        <x:v>46250</x:v>
      </x:c>
      <x:c r="O14" s="48" t="n">
        <x:f>IF(B14="","",AVERAGE(IFERROR(VLOOKUP(D14,'Справочники'!$A$5:$B$14,2,FALSE),0),IFERROR(VLOOKUP(E14,'Справочники'!$D$5:$E$12,2,FALSE),0),IFERROR(VLOOKUP(F14,'Справочники'!$G$5:$H$12,2,FALSE),0),IFERROR(VLOOKUP(G14,'Справочники'!$J$5:$K$12,2,FALSE),0)))</x:f>
        <x:v>0.475</x:v>
      </x:c>
      <x:c r="P14" s="36" t="str"/>
    </x:row>
    <x:row r="15" ht="44" customHeight="1">
      <x:c r="A15" s="39" t="str">
        <x:v>DOC-10</x:v>
      </x:c>
      <x:c r="B15" s="36" t="str">
        <x:v>Reviews / Ratings spec</x:v>
      </x:c>
      <x:c r="C15" s="36" t="str">
        <x:v>Missing spec</x:v>
      </x:c>
      <x:c r="D15" s="42" t="str">
        <x:v>Отсутствует</x:v>
      </x:c>
      <x:c r="E15" s="42" t="str">
        <x:v>Отсутствует</x:v>
      </x:c>
      <x:c r="F15" s="42" t="str">
        <x:v>Не требуется</x:v>
      </x:c>
      <x:c r="G15" s="42" t="str">
        <x:v>Не запускались</x:v>
      </x:c>
      <x:c r="H15" s="42" t="str">
        <x:v>Required before runtime</x:v>
      </x:c>
      <x:c r="I15" s="42" t="str">
        <x:v>P0</x:v>
      </x:c>
      <x:c r="J15" s="36" t="str">
        <x:v>Создать canonical review/moderation contract</x:v>
      </x:c>
      <x:c r="K15" s="36" t="str">
        <x:v>No dedicated spec</x:v>
      </x:c>
      <x:c r="L15" s="36" t="str">
        <x:v>Product/Trust</x:v>
      </x:c>
      <x:c r="M15" s="36" t="str">
        <x:v>docs/product/VISION.md</x:v>
      </x:c>
      <x:c r="N15" s="45"/>
      <x:c r="O15" s="48" t="n">
        <x:f>IF(B15="","",AVERAGE(IFERROR(VLOOKUP(D15,'Справочники'!$A$5:$B$14,2,FALSE),0),IFERROR(VLOOKUP(E15,'Справочники'!$D$5:$E$12,2,FALSE),0),IFERROR(VLOOKUP(F15,'Справочники'!$G$5:$H$12,2,FALSE),0),IFERROR(VLOOKUP(G15,'Справочники'!$J$5:$K$12,2,FALSE),0)))</x:f>
        <x:v>0.25</x:v>
      </x:c>
      <x:c r="P15" s="36" t="str"/>
    </x:row>
    <x:row r="16" ht="44" customHeight="1">
      <x:c r="A16" s="39" t="str">
        <x:v>DOC-11</x:v>
      </x:c>
      <x:c r="B16" s="36" t="str">
        <x:v>Localization spec</x:v>
      </x:c>
      <x:c r="C16" s="36" t="str">
        <x:v>Missing spec</x:v>
      </x:c>
      <x:c r="D16" s="42" t="str">
        <x:v>Отсутствует</x:v>
      </x:c>
      <x:c r="E16" s="42" t="str">
        <x:v>Отсутствует</x:v>
      </x:c>
      <x:c r="F16" s="42" t="str">
        <x:v>Не требуется</x:v>
      </x:c>
      <x:c r="G16" s="42" t="str">
        <x:v>Не запускались</x:v>
      </x:c>
      <x:c r="H16" s="42" t="str">
        <x:v>BCK-20/OD-10</x:v>
      </x:c>
      <x:c r="I16" s="42" t="str">
        <x:v>P0</x:v>
      </x:c>
      <x:c r="J16" s="36" t="str">
        <x:v>Создать l10n/reference data contract</x:v>
      </x:c>
      <x:c r="K16" s="36" t="str">
        <x:v>No Approved slice</x:v>
      </x:c>
      <x:c r="L16" s="36" t="str">
        <x:v>Reference Data</x:v>
      </x:c>
      <x:c r="M16" s="36" t="str">
        <x:v>docs/product/VISION.md</x:v>
      </x:c>
      <x:c r="N16" s="45"/>
      <x:c r="O16" s="48" t="n">
        <x:f>IF(B16="","",AVERAGE(IFERROR(VLOOKUP(D16,'Справочники'!$A$5:$B$14,2,FALSE),0),IFERROR(VLOOKUP(E16,'Справочники'!$D$5:$E$12,2,FALSE),0),IFERROR(VLOOKUP(F16,'Справочники'!$G$5:$H$12,2,FALSE),0),IFERROR(VLOOKUP(G16,'Справочники'!$J$5:$K$12,2,FALSE),0)))</x:f>
        <x:v>0.25</x:v>
      </x:c>
      <x:c r="P16" s="36" t="str"/>
    </x:row>
    <x:row r="17" ht="44" customHeight="1">
      <x:c r="A17" s="39" t="str">
        <x:v>DOC-12</x:v>
      </x:c>
      <x:c r="B17" s="36" t="str">
        <x:v>Backend spec coverage</x:v>
      </x:c>
      <x:c r="C17" s="36" t="str">
        <x:v>Coverage</x:v>
      </x:c>
      <x:c r="D17" s="42" t="str">
        <x:v>Частично</x:v>
      </x:c>
      <x:c r="E17" s="42" t="str">
        <x:v>Approved</x:v>
      </x:c>
      <x:c r="F17" s="42" t="str">
        <x:v>Отсутствует</x:v>
      </x:c>
      <x:c r="G17" s="42" t="str">
        <x:v>Частично</x:v>
      </x:c>
      <x:c r="H17" s="42" t="str">
        <x:v>5 of 22 physical</x:v>
      </x:c>
      <x:c r="I17" s="42" t="str">
        <x:v>P0</x:v>
      </x:c>
      <x:c r="J17" s="36" t="str">
        <x:v>Create specs in dependency order</x:v>
      </x:c>
      <x:c r="K17" s="36" t="str">
        <x:v>17 BCK specs missing</x:v>
      </x:c>
      <x:c r="L17" s="36" t="str">
        <x:v>Architecture</x:v>
      </x:c>
      <x:c r="M17" s="36" t="str">
        <x:v>docs/product/RECHARGE_BACKEND_DELIVERY_MAP.md</x:v>
      </x:c>
      <x:c r="N17" s="45" t="n">
        <x:v>46250</x:v>
      </x:c>
      <x:c r="O17" s="48" t="n">
        <x:f>IF(B17="","",AVERAGE(IFERROR(VLOOKUP(D17,'Справочники'!$A$5:$B$14,2,FALSE),0),IFERROR(VLOOKUP(E17,'Справочники'!$D$5:$E$12,2,FALSE),0),IFERROR(VLOOKUP(F17,'Справочники'!$G$5:$H$12,2,FALSE),0),IFERROR(VLOOKUP(G17,'Справочники'!$J$5:$K$12,2,FALSE),0)))</x:f>
        <x:v>0.44999999999999996</x:v>
      </x:c>
      <x:c r="P17" s="36" t="str"/>
    </x:row>
    <x:row r="18" ht="44" customHeight="1">
      <x:c r="A18" s="39" t="str">
        <x:v>DOC-13</x:v>
      </x:c>
      <x:c r="B18" s="36" t="str">
        <x:v>Link/version/status audit</x:v>
      </x:c>
      <x:c r="C18" s="36" t="str">
        <x:v>Documentation QA</x:v>
      </x:c>
      <x:c r="D18" s="42" t="str">
        <x:v>Review</x:v>
      </x:c>
      <x:c r="E18" s="42" t="str">
        <x:v>Approved</x:v>
      </x:c>
      <x:c r="F18" s="42" t="str">
        <x:v>Не требуется</x:v>
      </x:c>
      <x:c r="G18" s="42" t="str">
        <x:v>Не запускались</x:v>
      </x:c>
      <x:c r="H18" s="42" t="str">
        <x:v>Before approvals</x:v>
      </x:c>
      <x:c r="I18" s="42" t="str">
        <x:v>P0</x:v>
      </x:c>
      <x:c r="J18" s="36" t="str">
        <x:v>Check links, versions, statuses, changelogs</x:v>
      </x:c>
      <x:c r="K18" s="36" t="str">
        <x:v>Dirty concurrent docs</x:v>
      </x:c>
      <x:c r="L18" s="36" t="str">
        <x:v>Documentation owner</x:v>
      </x:c>
      <x:c r="M18" s="36" t="str">
        <x:v>docs</x:v>
      </x:c>
      <x:c r="N18" s="45" t="n">
        <x:v>46250</x:v>
      </x:c>
      <x:c r="O18" s="48" t="n">
        <x:f>IF(B18="","",AVERAGE(IFERROR(VLOOKUP(D18,'Справочники'!$A$5:$B$14,2,FALSE),0),IFERROR(VLOOKUP(E18,'Справочники'!$D$5:$E$12,2,FALSE),0),IFERROR(VLOOKUP(F18,'Справочники'!$G$5:$H$12,2,FALSE),0),IFERROR(VLOOKUP(G18,'Справочники'!$J$5:$K$12,2,FALSE),0)))</x:f>
        <x:v>0.65</x:v>
      </x:c>
      <x:c r="P18" s="36" t="str"/>
    </x:row>
    <x:row r="19" ht="44" customHeight="1">
      <x:c r="A19" s="39" t="str">
        <x:v>DOC-14</x:v>
      </x:c>
      <x:c r="B19" s="36" t="str">
        <x:v>File registry</x:v>
      </x:c>
      <x:c r="C19" s="36" t="str">
        <x:v>Workbook utility</x:v>
      </x:c>
      <x:c r="D19" s="42" t="str">
        <x:v>Готово</x:v>
      </x:c>
      <x:c r="E19" s="42" t="str">
        <x:v>Approved</x:v>
      </x:c>
      <x:c r="F19" s="42" t="str">
        <x:v>Не требуется</x:v>
      </x:c>
      <x:c r="G19" s="42" t="str">
        <x:v>Текущие зелёные</x:v>
      </x:c>
      <x:c r="H19" s="42" t="str">
        <x:v>Generated snapshot</x:v>
      </x:c>
      <x:c r="I19" s="42" t="str">
        <x:v>P1</x:v>
      </x:c>
      <x:c r="J19" s="36" t="str">
        <x:v>Filter by category/status/type</x:v>
      </x:c>
      <x:c r="K19" s="36" t="str">
        <x:v>Snapshot date 2026-08-16</x:v>
      </x:c>
      <x:c r="L19" s="36" t="str">
        <x:v>Codex</x:v>
      </x:c>
      <x:c r="M19" s="36" t="str">
        <x:v>Реестр файлов</x:v>
      </x:c>
      <x:c r="N19" s="45" t="n">
        <x:v>46250</x:v>
      </x:c>
      <x:c r="O19" s="48" t="n">
        <x:f>IF(B19="","",AVERAGE(IFERROR(VLOOKUP(D19,'Справочники'!$A$5:$B$14,2,FALSE),0),IFERROR(VLOOKUP(E19,'Справочники'!$D$5:$E$12,2,FALSE),0),IFERROR(VLOOKUP(F19,'Справочники'!$G$5:$H$12,2,FALSE),0),IFERROR(VLOOKUP(G19,'Справочники'!$J$5:$K$12,2,FALSE),0)))</x:f>
        <x:v>0.975</x:v>
      </x:c>
      <x:c r="P19" s="36" t="str"/>
    </x:row>
    <x:row r="20" ht="44" customHeight="1">
      <x:c r="A20" s="39" t="str">
        <x:v>DOC-AUD-01</x:v>
      </x:c>
      <x:c r="B20" s="36" t="str">
        <x:v>LAUNCH_STATUS header drift</x:v>
      </x:c>
      <x:c r="C20" s="36" t="str">
        <x:v>Audit finding</x:v>
      </x:c>
      <x:c r="D20" s="42" t="str">
        <x:v>Заблокировано</x:v>
      </x:c>
      <x:c r="E20" s="42" t="str">
        <x:v>Approved</x:v>
      </x:c>
      <x:c r="F20" s="42" t="str">
        <x:v>Не требуется</x:v>
      </x:c>
      <x:c r="G20" s="42" t="str">
        <x:v>Частично</x:v>
      </x:c>
      <x:c r="H20" s="42" t="str">
        <x:v>Canonical status hygiene</x:v>
      </x:c>
      <x:c r="I20" s="42" t="str">
        <x:v>P0</x:v>
      </x:c>
      <x:c r="J20" s="36" t="str">
        <x:v>Update Last updated and reconcile post-08-08 slices/docs</x:v>
      </x:c>
      <x:c r="K20" s="36" t="str">
        <x:v>Header remains 2026-08-08</x:v>
      </x:c>
      <x:c r="L20" s="36" t="str">
        <x:v>Release owner</x:v>
      </x:c>
      <x:c r="M20" s="36" t="str">
        <x:v>docs/architecture/LAUNCH_STATUS.md</x:v>
      </x:c>
      <x:c r="N20" s="45" t="n">
        <x:v>46250.5</x:v>
      </x:c>
      <x:c r="O20" s="48" t="n">
        <x:f>IF(B20="","",AVERAGE(IFERROR(VLOOKUP(D20,'Справочники'!$A$5:$B$14,2,FALSE),0),IFERROR(VLOOKUP(E20,'Справочники'!$D$5:$E$12,2,FALSE),0),IFERROR(VLOOKUP(F20,'Справочники'!$G$5:$H$12,2,FALSE),0),IFERROR(VLOOKUP(G20,'Справочники'!$J$5:$K$12,2,FALSE),0)))</x:f>
        <x:v>0.6124999999999999</x:v>
      </x:c>
      <x:c r="P20" s="36" t="str"/>
    </x:row>
    <x:row r="21" ht="44" customHeight="1">
      <x:c r="A21" s="39" t="str">
        <x:v>DOC-AUD-02</x:v>
      </x:c>
      <x:c r="B21" s="36" t="str">
        <x:v>BCK-04 registry drift</x:v>
      </x:c>
      <x:c r="C21" s="36" t="str">
        <x:v>Audit finding</x:v>
      </x:c>
      <x:c r="D21" s="42" t="str">
        <x:v>Заблокировано</x:v>
      </x:c>
      <x:c r="E21" s="42" t="str">
        <x:v>Approved</x:v>
      </x:c>
      <x:c r="F21" s="42" t="str">
        <x:v>Не требуется</x:v>
      </x:c>
      <x:c r="G21" s="42" t="str">
        <x:v>Частично</x:v>
      </x:c>
      <x:c r="H21" s="42" t="str">
        <x:v>BCK-02 checksum integrity</x:v>
      </x:c>
      <x:c r="I21" s="42" t="str">
        <x:v>P0</x:v>
      </x:c>
      <x:c r="J21" s="36" t="str">
        <x:v>Register Draft v0.2 Present without changing runtime</x:v>
      </x:c>
      <x:c r="K21" s="36" t="str">
        <x:v>Row still Planned</x:v>
      </x:c>
      <x:c r="L21" s="36" t="str">
        <x:v>Architecture / Security</x:v>
      </x:c>
      <x:c r="M21" s="36" t="str">
        <x:v>docs/product/RECHARGE_BACKEND_DELIVERY_MAP.md</x:v>
      </x:c>
      <x:c r="N21" s="45" t="n">
        <x:v>46250.5</x:v>
      </x:c>
      <x:c r="O21" s="48" t="n">
        <x:f>IF(B21="","",AVERAGE(IFERROR(VLOOKUP(D21,'Справочники'!$A$5:$B$14,2,FALSE),0),IFERROR(VLOOKUP(E21,'Справочники'!$D$5:$E$12,2,FALSE),0),IFERROR(VLOOKUP(F21,'Справочники'!$G$5:$H$12,2,FALSE),0),IFERROR(VLOOKUP(G21,'Справочники'!$J$5:$K$12,2,FALSE),0)))</x:f>
        <x:v>0.6124999999999999</x:v>
      </x:c>
      <x:c r="P21" s="36" t="str"/>
    </x:row>
    <x:row r="22" ht="44" customHeight="1">
      <x:c r="A22" s="39" t="str">
        <x:v>DOC-AUD-03</x:v>
      </x:c>
      <x:c r="B22" s="36" t="str">
        <x:v>BCK-04 preparatory matrix wording</x:v>
      </x:c>
      <x:c r="C22" s="36" t="str">
        <x:v>Audit finding</x:v>
      </x:c>
      <x:c r="D22" s="42" t="str">
        <x:v>Заблокировано</x:v>
      </x:c>
      <x:c r="E22" s="42" t="str">
        <x:v>Draft</x:v>
      </x:c>
      <x:c r="F22" s="42" t="str">
        <x:v>Не требуется</x:v>
      </x:c>
      <x:c r="G22" s="42" t="str">
        <x:v>Частично</x:v>
      </x:c>
      <x:c r="H22" s="42" t="str">
        <x:v>Before BCK-04 review</x:v>
      </x:c>
      <x:c r="I22" s="42" t="str">
        <x:v>P0</x:v>
      </x:c>
      <x:c r="J22" s="36" t="str">
        <x:v>Reconcile stale target/history statements with existing BCK-04 v0.2</x:v>
      </x:c>
      <x:c r="K22" s="36" t="str">
        <x:v>Internal contradiction</x:v>
      </x:c>
      <x:c r="L22" s="36" t="str">
        <x:v>Security/Privacy</x:v>
      </x:c>
      <x:c r="M22" s="36" t="str">
        <x:v>docs/product/BACKEND_SECURITY_PRIVACY_COVERAGE_MATRIX.md</x:v>
      </x:c>
      <x:c r="N22" s="45" t="n">
        <x:v>46250.5</x:v>
      </x:c>
      <x:c r="O22" s="48" t="n">
        <x:f>IF(B22="","",AVERAGE(IFERROR(VLOOKUP(D22,'Справочники'!$A$5:$B$14,2,FALSE),0),IFERROR(VLOOKUP(E22,'Справочники'!$D$5:$E$12,2,FALSE),0),IFERROR(VLOOKUP(F22,'Справочники'!$G$5:$H$12,2,FALSE),0),IFERROR(VLOOKUP(G22,'Справочники'!$J$5:$K$12,2,FALSE),0)))</x:f>
        <x:v>0.44999999999999996</x:v>
      </x:c>
      <x:c r="P22" s="36" t="str"/>
    </x:row>
    <x:row r="23" ht="44" customHeight="1">
      <x:c r="A23" s="39" t="str">
        <x:v>DOC-AUD-04</x:v>
      </x:c>
      <x:c r="B23" s="36" t="str">
        <x:v>Profile index/current versions</x:v>
      </x:c>
      <x:c r="C23" s="36" t="str">
        <x:v>Documentation audit</x:v>
      </x:c>
      <x:c r="D23" s="42" t="str">
        <x:v>Review</x:v>
      </x:c>
      <x:c r="E23" s="42" t="str">
        <x:v>Draft</x:v>
      </x:c>
      <x:c r="F23" s="42" t="str">
        <x:v>Не требуется</x:v>
      </x:c>
      <x:c r="G23" s="42" t="str">
        <x:v>Частично</x:v>
      </x:c>
      <x:c r="H23" s="42" t="str">
        <x:v>Owner decisions</x:v>
      </x:c>
      <x:c r="I23" s="42" t="str">
        <x:v>P0</x:v>
      </x:c>
      <x:c r="J23" s="36" t="str">
        <x:v>Review five sibling docs as one family</x:v>
      </x:c>
      <x:c r="K23" s="36" t="str">
        <x:v>All remain Draft</x:v>
      </x:c>
      <x:c r="L23" s="36" t="str">
        <x:v>Product / Identity</x:v>
      </x:c>
      <x:c r="M23" s="36" t="str">
        <x:v>docs/product/PROFILE_DOCUMENTS_INDEX.md</x:v>
      </x:c>
      <x:c r="N23" s="45" t="n">
        <x:v>46250.5</x:v>
      </x:c>
      <x:c r="O23" s="48" t="n">
        <x:f>IF(B23="","",AVERAGE(IFERROR(VLOOKUP(D23,'Справочники'!$A$5:$B$14,2,FALSE),0),IFERROR(VLOOKUP(E23,'Справочники'!$D$5:$E$12,2,FALSE),0),IFERROR(VLOOKUP(F23,'Справочники'!$G$5:$H$12,2,FALSE),0),IFERROR(VLOOKUP(G23,'Справочники'!$J$5:$K$12,2,FALSE),0)))</x:f>
        <x:v>0.5875</x:v>
      </x:c>
      <x:c r="P23" s="36" t="str">
        <x:v>Index 1.5; Viewer 1.17; Creator 1.9; Public Creator 1.10; Professional Page 2.32</x:v>
      </x:c>
    </x:row>
    <x:row r="24" ht="44" customHeight="1">
      <x:c r="A24" s="39" t="str">
        <x:v>DOC-AUD-05</x:v>
      </x:c>
      <x:c r="B24" s="36" t="str">
        <x:v>Deleted Professional Page changelog</x:v>
      </x:c>
      <x:c r="C24" s="36" t="str">
        <x:v>Documentation hygiene</x:v>
      </x:c>
      <x:c r="D24" s="42" t="str">
        <x:v>Готово</x:v>
      </x:c>
      <x:c r="E24" s="42" t="str">
        <x:v>Approved</x:v>
      </x:c>
      <x:c r="F24" s="42" t="str">
        <x:v>Не требуется</x:v>
      </x:c>
      <x:c r="G24" s="42" t="str">
        <x:v>Текущие зелёные</x:v>
      </x:c>
      <x:c r="H24" s="42" t="str">
        <x:v>Index reconciled</x:v>
      </x:c>
      <x:c r="I24" s="42" t="str">
        <x:v>P2</x:v>
      </x:c>
      <x:c r="J24" s="36" t="str">
        <x:v>Do not restore obsolete parallel changelog</x:v>
      </x:c>
      <x:c r="K24" s="36" t="str"/>
      <x:c r="L24" s="36" t="str">
        <x:v>Documentation owner</x:v>
      </x:c>
      <x:c r="M24" s="36" t="str">
        <x:v>docs/product/PROFILE_DOCUMENTS_INDEX.md</x:v>
      </x:c>
      <x:c r="N24" s="45" t="n">
        <x:v>46250.5</x:v>
      </x:c>
      <x:c r="O24" s="48" t="n">
        <x:f>IF(B24="","",AVERAGE(IFERROR(VLOOKUP(D24,'Справочники'!$A$5:$B$14,2,FALSE),0),IFERROR(VLOOKUP(E24,'Справочники'!$D$5:$E$12,2,FALSE),0),IFERROR(VLOOKUP(F24,'Справочники'!$G$5:$H$12,2,FALSE),0),IFERROR(VLOOKUP(G24,'Справочники'!$J$5:$K$12,2,FALSE),0)))</x:f>
        <x:v>0.975</x:v>
      </x:c>
      <x:c r="P24" s="36" t="str"/>
    </x:row>
    <x:row r="25" ht="44" customHeight="1">
      <x:c r="A25" s="39" t="str">
        <x:v>DOC-AUD-06</x:v>
      </x:c>
      <x:c r="B25" s="36" t="str">
        <x:v>Workbook state audit</x:v>
      </x:c>
      <x:c r="C25" s="36" t="str">
        <x:v>Audit snapshot</x:v>
      </x:c>
      <x:c r="D25" s="42" t="str">
        <x:v>Готово</x:v>
      </x:c>
      <x:c r="E25" s="42" t="str">
        <x:v>Approved</x:v>
      </x:c>
      <x:c r="F25" s="42" t="str">
        <x:v>Не требуется</x:v>
      </x:c>
      <x:c r="G25" s="42" t="str">
        <x:v>Текущие зелёные</x:v>
      </x:c>
      <x:c r="H25" s="42" t="str">
        <x:v>2026-08-16 snapshot</x:v>
      </x:c>
      <x:c r="I25" s="42" t="str">
        <x:v>P1</x:v>
      </x:c>
      <x:c r="J25" s="36" t="str">
        <x:v>Refresh after material repo/status changes</x:v>
      </x:c>
      <x:c r="K25" s="36" t="str"/>
      <x:c r="L25" s="36" t="str">
        <x:v>Documentation owner</x:v>
      </x:c>
      <x:c r="M25" s="36" t="str">
        <x:v>recharge-project-map-full.xlsx</x:v>
      </x:c>
      <x:c r="N25" s="45" t="n">
        <x:v>46250.5</x:v>
      </x:c>
      <x:c r="O25" s="48" t="n">
        <x:f>IF(B25="","",AVERAGE(IFERROR(VLOOKUP(D25,'Справочники'!$A$5:$B$14,2,FALSE),0),IFERROR(VLOOKUP(E25,'Справочники'!$D$5:$E$12,2,FALSE),0),IFERROR(VLOOKUP(F25,'Справочники'!$G$5:$H$12,2,FALSE),0),IFERROR(VLOOKUP(G25,'Справочники'!$J$5:$K$12,2,FALSE),0)))</x:f>
        <x:v>0.975</x:v>
      </x:c>
      <x:c r="P25" s="36" t="str"/>
    </x:row>
    <x:row r="26" ht="44" customHeight="1">
      <x:c r="A26" s="39"/>
      <x:c r="B26" s="36"/>
      <x:c r="C26" s="36"/>
      <x:c r="D26" s="42"/>
      <x:c r="E26" s="42"/>
      <x:c r="F26" s="42"/>
      <x:c r="G26" s="42"/>
      <x:c r="H26" s="42"/>
      <x:c r="I26" s="42"/>
      <x:c r="J26" s="36"/>
      <x:c r="K26" s="36"/>
      <x:c r="L26" s="36"/>
      <x:c r="M26" s="36"/>
      <x:c r="N26" s="45"/>
      <x:c r="O26" s="48" t="str">
        <x:f>IF(B26="","",AVERAGE(IFERROR(VLOOKUP(D26,'Справочники'!$A$5:$B$14,2,FALSE),0),IFERROR(VLOOKUP(E26,'Справочники'!$D$5:$E$12,2,FALSE),0),IFERROR(VLOOKUP(F26,'Справочники'!$G$5:$H$12,2,FALSE),0),IFERROR(VLOOKUP(G26,'Справочники'!$J$5:$K$12,2,FALSE),0)))</x:f>
      </x:c>
      <x:c r="P26" s="36"/>
    </x:row>
    <x:row r="27" ht="44" customHeight="1">
      <x:c r="A27" s="39"/>
      <x:c r="B27" s="36"/>
      <x:c r="C27" s="36"/>
      <x:c r="D27" s="42"/>
      <x:c r="E27" s="42"/>
      <x:c r="F27" s="42"/>
      <x:c r="G27" s="42"/>
      <x:c r="H27" s="42"/>
      <x:c r="I27" s="42"/>
      <x:c r="J27" s="36"/>
      <x:c r="K27" s="36"/>
      <x:c r="L27" s="36"/>
      <x:c r="M27" s="36"/>
      <x:c r="N27" s="45"/>
      <x:c r="O27" s="48" t="str">
        <x:f>IF(B27="","",AVERAGE(IFERROR(VLOOKUP(D27,'Справочники'!$A$5:$B$14,2,FALSE),0),IFERROR(VLOOKUP(E27,'Справочники'!$D$5:$E$12,2,FALSE),0),IFERROR(VLOOKUP(F27,'Справочники'!$G$5:$H$12,2,FALSE),0),IFERROR(VLOOKUP(G27,'Справочники'!$J$5:$K$12,2,FALSE),0)))</x:f>
      </x:c>
      <x:c r="P27" s="36"/>
    </x:row>
    <x:row r="28" ht="44" customHeight="1">
      <x:c r="A28" s="39"/>
      <x:c r="B28" s="36"/>
      <x:c r="C28" s="36"/>
      <x:c r="D28" s="42"/>
      <x:c r="E28" s="42"/>
      <x:c r="F28" s="42"/>
      <x:c r="G28" s="42"/>
      <x:c r="H28" s="42"/>
      <x:c r="I28" s="42"/>
      <x:c r="J28" s="36"/>
      <x:c r="K28" s="36"/>
      <x:c r="L28" s="36"/>
      <x:c r="M28" s="36"/>
      <x:c r="N28" s="45"/>
      <x:c r="O28" s="48" t="str">
        <x:f>IF(B28="","",AVERAGE(IFERROR(VLOOKUP(D28,'Справочники'!$A$5:$B$14,2,FALSE),0),IFERROR(VLOOKUP(E28,'Справочники'!$D$5:$E$12,2,FALSE),0),IFERROR(VLOOKUP(F28,'Справочники'!$G$5:$H$12,2,FALSE),0),IFERROR(VLOOKUP(G28,'Справочники'!$J$5:$K$12,2,FALSE),0)))</x:f>
      </x:c>
      <x:c r="P28" s="36"/>
    </x:row>
    <x:row r="29" ht="44" customHeight="1">
      <x:c r="A29" s="39"/>
      <x:c r="B29" s="36"/>
      <x:c r="C29" s="36"/>
      <x:c r="D29" s="42"/>
      <x:c r="E29" s="42"/>
      <x:c r="F29" s="42"/>
      <x:c r="G29" s="42"/>
      <x:c r="H29" s="42"/>
      <x:c r="I29" s="42"/>
      <x:c r="J29" s="36"/>
      <x:c r="K29" s="36"/>
      <x:c r="L29" s="36"/>
      <x:c r="M29" s="36"/>
      <x:c r="N29" s="45"/>
      <x:c r="O29" s="48" t="str">
        <x:f>IF(B29="","",AVERAGE(IFERROR(VLOOKUP(D29,'Справочники'!$A$5:$B$14,2,FALSE),0),IFERROR(VLOOKUP(E29,'Справочники'!$D$5:$E$12,2,FALSE),0),IFERROR(VLOOKUP(F29,'Справочники'!$G$5:$H$12,2,FALSE),0),IFERROR(VLOOKUP(G29,'Справочники'!$J$5:$K$12,2,FALSE),0)))</x:f>
      </x:c>
      <x:c r="P29" s="36"/>
    </x:row>
    <x:row r="30" ht="44" customHeight="1">
      <x:c r="A30" s="39"/>
      <x:c r="B30" s="36"/>
      <x:c r="C30" s="36"/>
      <x:c r="D30" s="42"/>
      <x:c r="E30" s="42"/>
      <x:c r="F30" s="42"/>
      <x:c r="G30" s="42"/>
      <x:c r="H30" s="42"/>
      <x:c r="I30" s="42"/>
      <x:c r="J30" s="36"/>
      <x:c r="K30" s="36"/>
      <x:c r="L30" s="36"/>
      <x:c r="M30" s="36"/>
      <x:c r="N30" s="45"/>
      <x:c r="O30" s="48" t="str">
        <x:f>IF(B30="","",AVERAGE(IFERROR(VLOOKUP(D30,'Справочники'!$A$5:$B$14,2,FALSE),0),IFERROR(VLOOKUP(E30,'Справочники'!$D$5:$E$12,2,FALSE),0),IFERROR(VLOOKUP(F30,'Справочники'!$G$5:$H$12,2,FALSE),0),IFERROR(VLOOKUP(G30,'Справочники'!$J$5:$K$12,2,FALSE),0)))</x:f>
      </x:c>
      <x:c r="P30" s="36"/>
    </x:row>
    <x:row r="31" ht="44" customHeight="1">
      <x:c r="A31" s="39"/>
      <x:c r="B31" s="36"/>
      <x:c r="C31" s="36"/>
      <x:c r="D31" s="42"/>
      <x:c r="E31" s="42"/>
      <x:c r="F31" s="42"/>
      <x:c r="G31" s="42"/>
      <x:c r="H31" s="42"/>
      <x:c r="I31" s="42"/>
      <x:c r="J31" s="36"/>
      <x:c r="K31" s="36"/>
      <x:c r="L31" s="36"/>
      <x:c r="M31" s="36"/>
      <x:c r="N31" s="45"/>
      <x:c r="O31" s="48" t="str">
        <x:f>IF(B31="","",AVERAGE(IFERROR(VLOOKUP(D31,'Справочники'!$A$5:$B$14,2,FALSE),0),IFERROR(VLOOKUP(E31,'Справочники'!$D$5:$E$12,2,FALSE),0),IFERROR(VLOOKUP(F31,'Справочники'!$G$5:$H$12,2,FALSE),0),IFERROR(VLOOKUP(G31,'Справочники'!$J$5:$K$12,2,FALSE),0)))</x:f>
      </x:c>
      <x:c r="P31" s="36"/>
    </x:row>
    <x:row r="32" ht="44" customHeight="1">
      <x:c r="A32" s="39"/>
      <x:c r="B32" s="36"/>
      <x:c r="C32" s="36"/>
      <x:c r="D32" s="42"/>
      <x:c r="E32" s="42"/>
      <x:c r="F32" s="42"/>
      <x:c r="G32" s="42"/>
      <x:c r="H32" s="42"/>
      <x:c r="I32" s="42"/>
      <x:c r="J32" s="36"/>
      <x:c r="K32" s="36"/>
      <x:c r="L32" s="36"/>
      <x:c r="M32" s="36"/>
      <x:c r="N32" s="45"/>
      <x:c r="O32" s="48" t="str">
        <x:f>IF(B32="","",AVERAGE(IFERROR(VLOOKUP(D32,'Справочники'!$A$5:$B$14,2,FALSE),0),IFERROR(VLOOKUP(E32,'Справочники'!$D$5:$E$12,2,FALSE),0),IFERROR(VLOOKUP(F32,'Справочники'!$G$5:$H$12,2,FALSE),0),IFERROR(VLOOKUP(G32,'Справочники'!$J$5:$K$12,2,FALSE),0)))</x:f>
      </x:c>
      <x:c r="P32" s="36"/>
    </x:row>
    <x:row r="33" ht="44" customHeight="1">
      <x:c r="A33" s="39"/>
      <x:c r="B33" s="36"/>
      <x:c r="C33" s="36"/>
      <x:c r="D33" s="42"/>
      <x:c r="E33" s="42"/>
      <x:c r="F33" s="42"/>
      <x:c r="G33" s="42"/>
      <x:c r="H33" s="42"/>
      <x:c r="I33" s="42"/>
      <x:c r="J33" s="36"/>
      <x:c r="K33" s="36"/>
      <x:c r="L33" s="36"/>
      <x:c r="M33" s="36"/>
      <x:c r="N33" s="45"/>
      <x:c r="O33" s="48" t="str">
        <x:f>IF(B33="","",AVERAGE(IFERROR(VLOOKUP(D33,'Справочники'!$A$5:$B$14,2,FALSE),0),IFERROR(VLOOKUP(E33,'Справочники'!$D$5:$E$12,2,FALSE),0),IFERROR(VLOOKUP(F33,'Справочники'!$G$5:$H$12,2,FALSE),0),IFERROR(VLOOKUP(G33,'Справочники'!$J$5:$K$12,2,FALSE),0)))</x:f>
      </x:c>
      <x:c r="P33" s="36"/>
    </x:row>
    <x:row r="34" ht="44" customHeight="1">
      <x:c r="A34" s="39"/>
      <x:c r="B34" s="36"/>
      <x:c r="C34" s="36"/>
      <x:c r="D34" s="42"/>
      <x:c r="E34" s="42"/>
      <x:c r="F34" s="42"/>
      <x:c r="G34" s="42"/>
      <x:c r="H34" s="42"/>
      <x:c r="I34" s="42"/>
      <x:c r="J34" s="36"/>
      <x:c r="K34" s="36"/>
      <x:c r="L34" s="36"/>
      <x:c r="M34" s="36"/>
      <x:c r="N34" s="45"/>
      <x:c r="O34" s="48" t="str">
        <x:f>IF(B34="","",AVERAGE(IFERROR(VLOOKUP(D34,'Справочники'!$A$5:$B$14,2,FALSE),0),IFERROR(VLOOKUP(E34,'Справочники'!$D$5:$E$12,2,FALSE),0),IFERROR(VLOOKUP(F34,'Справочники'!$G$5:$H$12,2,FALSE),0),IFERROR(VLOOKUP(G34,'Справочники'!$J$5:$K$12,2,FALSE),0)))</x:f>
      </x:c>
      <x:c r="P34" s="36"/>
    </x:row>
    <x:row r="35" ht="44" customHeight="1">
      <x:c r="A35" s="39"/>
      <x:c r="B35" s="36"/>
      <x:c r="C35" s="36"/>
      <x:c r="D35" s="42"/>
      <x:c r="E35" s="42"/>
      <x:c r="F35" s="42"/>
      <x:c r="G35" s="42"/>
      <x:c r="H35" s="42"/>
      <x:c r="I35" s="42"/>
      <x:c r="J35" s="36"/>
      <x:c r="K35" s="36"/>
      <x:c r="L35" s="36"/>
      <x:c r="M35" s="36"/>
      <x:c r="N35" s="45"/>
      <x:c r="O35" s="48" t="str">
        <x:f>IF(B35="","",AVERAGE(IFERROR(VLOOKUP(D35,'Справочники'!$A$5:$B$14,2,FALSE),0),IFERROR(VLOOKUP(E35,'Справочники'!$D$5:$E$12,2,FALSE),0),IFERROR(VLOOKUP(F35,'Справочники'!$G$5:$H$12,2,FALSE),0),IFERROR(VLOOKUP(G35,'Справочники'!$J$5:$K$12,2,FALSE),0)))</x:f>
      </x:c>
      <x:c r="P35" s="36"/>
    </x:row>
    <x:row r="36" ht="44" customHeight="1">
      <x:c r="A36" s="39"/>
      <x:c r="B36" s="36"/>
      <x:c r="C36" s="36"/>
      <x:c r="D36" s="42"/>
      <x:c r="E36" s="42"/>
      <x:c r="F36" s="42"/>
      <x:c r="G36" s="42"/>
      <x:c r="H36" s="42"/>
      <x:c r="I36" s="42"/>
      <x:c r="J36" s="36"/>
      <x:c r="K36" s="36"/>
      <x:c r="L36" s="36"/>
      <x:c r="M36" s="36"/>
      <x:c r="N36" s="45"/>
      <x:c r="O36" s="48" t="str">
        <x:f>IF(B36="","",AVERAGE(IFERROR(VLOOKUP(D36,'Справочники'!$A$5:$B$14,2,FALSE),0),IFERROR(VLOOKUP(E36,'Справочники'!$D$5:$E$12,2,FALSE),0),IFERROR(VLOOKUP(F36,'Справочники'!$G$5:$H$12,2,FALSE),0),IFERROR(VLOOKUP(G36,'Справочники'!$J$5:$K$12,2,FALSE),0)))</x:f>
      </x:c>
      <x:c r="P36" s="36"/>
    </x:row>
    <x:row r="37" ht="44" customHeight="1">
      <x:c r="A37" s="39"/>
      <x:c r="B37" s="36"/>
      <x:c r="C37" s="36"/>
      <x:c r="D37" s="42"/>
      <x:c r="E37" s="42"/>
      <x:c r="F37" s="42"/>
      <x:c r="G37" s="42"/>
      <x:c r="H37" s="42"/>
      <x:c r="I37" s="42"/>
      <x:c r="J37" s="36"/>
      <x:c r="K37" s="36"/>
      <x:c r="L37" s="36"/>
      <x:c r="M37" s="36"/>
      <x:c r="N37" s="45"/>
      <x:c r="O37" s="48" t="str">
        <x:f>IF(B37="","",AVERAGE(IFERROR(VLOOKUP(D37,'Справочники'!$A$5:$B$14,2,FALSE),0),IFERROR(VLOOKUP(E37,'Справочники'!$D$5:$E$12,2,FALSE),0),IFERROR(VLOOKUP(F37,'Справочники'!$G$5:$H$12,2,FALSE),0),IFERROR(VLOOKUP(G37,'Справочники'!$J$5:$K$12,2,FALSE),0)))</x:f>
      </x:c>
      <x:c r="P37" s="36"/>
    </x:row>
    <x:row r="38" ht="44" customHeight="1">
      <x:c r="A38" s="39"/>
      <x:c r="B38" s="36"/>
      <x:c r="C38" s="36"/>
      <x:c r="D38" s="42"/>
      <x:c r="E38" s="42"/>
      <x:c r="F38" s="42"/>
      <x:c r="G38" s="42"/>
      <x:c r="H38" s="42"/>
      <x:c r="I38" s="42"/>
      <x:c r="J38" s="36"/>
      <x:c r="K38" s="36"/>
      <x:c r="L38" s="36"/>
      <x:c r="M38" s="36"/>
      <x:c r="N38" s="45"/>
      <x:c r="O38" s="48" t="str">
        <x:f>IF(B38="","",AVERAGE(IFERROR(VLOOKUP(D38,'Справочники'!$A$5:$B$14,2,FALSE),0),IFERROR(VLOOKUP(E38,'Справочники'!$D$5:$E$12,2,FALSE),0),IFERROR(VLOOKUP(F38,'Справочники'!$G$5:$H$12,2,FALSE),0),IFERROR(VLOOKUP(G38,'Справочники'!$J$5:$K$12,2,FALSE),0)))</x:f>
      </x:c>
      <x:c r="P38" s="36"/>
    </x:row>
    <x:row r="39" ht="44" customHeight="1">
      <x:c r="A39" s="39"/>
      <x:c r="B39" s="36"/>
      <x:c r="C39" s="36"/>
      <x:c r="D39" s="42"/>
      <x:c r="E39" s="42"/>
      <x:c r="F39" s="42"/>
      <x:c r="G39" s="42"/>
      <x:c r="H39" s="42"/>
      <x:c r="I39" s="42"/>
      <x:c r="J39" s="36"/>
      <x:c r="K39" s="36"/>
      <x:c r="L39" s="36"/>
      <x:c r="M39" s="36"/>
      <x:c r="N39" s="45"/>
      <x:c r="O39" s="48" t="str">
        <x:f>IF(B39="","",AVERAGE(IFERROR(VLOOKUP(D39,'Справочники'!$A$5:$B$14,2,FALSE),0),IFERROR(VLOOKUP(E39,'Справочники'!$D$5:$E$12,2,FALSE),0),IFERROR(VLOOKUP(F39,'Справочники'!$G$5:$H$12,2,FALSE),0),IFERROR(VLOOKUP(G39,'Справочники'!$J$5:$K$12,2,FALSE),0)))</x:f>
      </x:c>
      <x:c r="P39" s="36"/>
    </x:row>
    <x:row r="40" ht="44" customHeight="1">
      <x:c r="A40" s="39"/>
      <x:c r="B40" s="36"/>
      <x:c r="C40" s="36"/>
      <x:c r="D40" s="42"/>
      <x:c r="E40" s="42"/>
      <x:c r="F40" s="42"/>
      <x:c r="G40" s="42"/>
      <x:c r="H40" s="42"/>
      <x:c r="I40" s="42"/>
      <x:c r="J40" s="36"/>
      <x:c r="K40" s="36"/>
      <x:c r="L40" s="36"/>
      <x:c r="M40" s="36"/>
      <x:c r="N40" s="45"/>
      <x:c r="O40" s="48" t="str">
        <x:f>IF(B40="","",AVERAGE(IFERROR(VLOOKUP(D40,'Справочники'!$A$5:$B$14,2,FALSE),0),IFERROR(VLOOKUP(E40,'Справочники'!$D$5:$E$12,2,FALSE),0),IFERROR(VLOOKUP(F40,'Справочники'!$G$5:$H$12,2,FALSE),0),IFERROR(VLOOKUP(G40,'Справочники'!$J$5:$K$12,2,FALSE),0)))</x:f>
      </x:c>
      <x:c r="P40" s="36"/>
    </x:row>
    <x:row r="41" ht="44" customHeight="1">
      <x:c r="A41" s="39"/>
      <x:c r="B41" s="36"/>
      <x:c r="C41" s="36"/>
      <x:c r="D41" s="42"/>
      <x:c r="E41" s="42"/>
      <x:c r="F41" s="42"/>
      <x:c r="G41" s="42"/>
      <x:c r="H41" s="42"/>
      <x:c r="I41" s="42"/>
      <x:c r="J41" s="36"/>
      <x:c r="K41" s="36"/>
      <x:c r="L41" s="36"/>
      <x:c r="M41" s="36"/>
      <x:c r="N41" s="45"/>
      <x:c r="O41" s="48" t="str">
        <x:f>IF(B41="","",AVERAGE(IFERROR(VLOOKUP(D41,'Справочники'!$A$5:$B$14,2,FALSE),0),IFERROR(VLOOKUP(E41,'Справочники'!$D$5:$E$12,2,FALSE),0),IFERROR(VLOOKUP(F41,'Справочники'!$G$5:$H$12,2,FALSE),0),IFERROR(VLOOKUP(G41,'Справочники'!$J$5:$K$12,2,FALSE),0)))</x:f>
      </x:c>
      <x:c r="P41" s="36"/>
    </x:row>
    <x:row r="42" ht="44" customHeight="1">
      <x:c r="A42" s="39"/>
      <x:c r="B42" s="36"/>
      <x:c r="C42" s="36"/>
      <x:c r="D42" s="42"/>
      <x:c r="E42" s="42"/>
      <x:c r="F42" s="42"/>
      <x:c r="G42" s="42"/>
      <x:c r="H42" s="42"/>
      <x:c r="I42" s="42"/>
      <x:c r="J42" s="36"/>
      <x:c r="K42" s="36"/>
      <x:c r="L42" s="36"/>
      <x:c r="M42" s="36"/>
      <x:c r="N42" s="45"/>
      <x:c r="O42" s="48" t="str">
        <x:f>IF(B42="","",AVERAGE(IFERROR(VLOOKUP(D42,'Справочники'!$A$5:$B$14,2,FALSE),0),IFERROR(VLOOKUP(E42,'Справочники'!$D$5:$E$12,2,FALSE),0),IFERROR(VLOOKUP(F42,'Справочники'!$G$5:$H$12,2,FALSE),0),IFERROR(VLOOKUP(G42,'Справочники'!$J$5:$K$12,2,FALSE),0)))</x:f>
      </x:c>
      <x:c r="P42" s="36"/>
    </x:row>
    <x:row r="43" ht="44" customHeight="1">
      <x:c r="A43" s="39"/>
      <x:c r="B43" s="36"/>
      <x:c r="C43" s="36"/>
      <x:c r="D43" s="42"/>
      <x:c r="E43" s="42"/>
      <x:c r="F43" s="42"/>
      <x:c r="G43" s="42"/>
      <x:c r="H43" s="42"/>
      <x:c r="I43" s="42"/>
      <x:c r="J43" s="36"/>
      <x:c r="K43" s="36"/>
      <x:c r="L43" s="36"/>
      <x:c r="M43" s="36"/>
      <x:c r="N43" s="45"/>
      <x:c r="O43" s="48" t="str">
        <x:f>IF(B43="","",AVERAGE(IFERROR(VLOOKUP(D43,'Справочники'!$A$5:$B$14,2,FALSE),0),IFERROR(VLOOKUP(E43,'Справочники'!$D$5:$E$12,2,FALSE),0),IFERROR(VLOOKUP(F43,'Справочники'!$G$5:$H$12,2,FALSE),0),IFERROR(VLOOKUP(G43,'Справочники'!$J$5:$K$12,2,FALSE),0)))</x:f>
      </x:c>
      <x:c r="P43" s="36"/>
    </x:row>
    <x:row r="44" ht="44" customHeight="1">
      <x:c r="A44" s="39"/>
      <x:c r="B44" s="36"/>
      <x:c r="C44" s="36"/>
      <x:c r="D44" s="42"/>
      <x:c r="E44" s="42"/>
      <x:c r="F44" s="42"/>
      <x:c r="G44" s="42"/>
      <x:c r="H44" s="42"/>
      <x:c r="I44" s="42"/>
      <x:c r="J44" s="36"/>
      <x:c r="K44" s="36"/>
      <x:c r="L44" s="36"/>
      <x:c r="M44" s="36"/>
      <x:c r="N44" s="45"/>
      <x:c r="O44" s="48" t="str">
        <x:f>IF(B44="","",AVERAGE(IFERROR(VLOOKUP(D44,'Справочники'!$A$5:$B$14,2,FALSE),0),IFERROR(VLOOKUP(E44,'Справочники'!$D$5:$E$12,2,FALSE),0),IFERROR(VLOOKUP(F44,'Справочники'!$G$5:$H$12,2,FALSE),0),IFERROR(VLOOKUP(G44,'Справочники'!$J$5:$K$12,2,FALSE),0)))</x:f>
      </x:c>
      <x:c r="P44" s="36"/>
    </x:row>
    <x:row r="45" ht="44" customHeight="1">
      <x:c r="A45" s="39"/>
      <x:c r="B45" s="36"/>
      <x:c r="C45" s="36"/>
      <x:c r="D45" s="42"/>
      <x:c r="E45" s="42"/>
      <x:c r="F45" s="42"/>
      <x:c r="G45" s="42"/>
      <x:c r="H45" s="42"/>
      <x:c r="I45" s="42"/>
      <x:c r="J45" s="36"/>
      <x:c r="K45" s="36"/>
      <x:c r="L45" s="36"/>
      <x:c r="M45" s="36"/>
      <x:c r="N45" s="45"/>
      <x:c r="O45" s="48" t="str">
        <x:f>IF(B45="","",AVERAGE(IFERROR(VLOOKUP(D45,'Справочники'!$A$5:$B$14,2,FALSE),0),IFERROR(VLOOKUP(E45,'Справочники'!$D$5:$E$12,2,FALSE),0),IFERROR(VLOOKUP(F45,'Справочники'!$G$5:$H$12,2,FALSE),0),IFERROR(VLOOKUP(G45,'Справочники'!$J$5:$K$12,2,FALSE),0)))</x:f>
      </x:c>
      <x:c r="P45" s="36"/>
    </x:row>
    <x:row r="46" ht="44" customHeight="1">
      <x:c r="A46" s="39"/>
      <x:c r="B46" s="36"/>
      <x:c r="C46" s="36"/>
      <x:c r="D46" s="42"/>
      <x:c r="E46" s="42"/>
      <x:c r="F46" s="42"/>
      <x:c r="G46" s="42"/>
      <x:c r="H46" s="42"/>
      <x:c r="I46" s="42"/>
      <x:c r="J46" s="36"/>
      <x:c r="K46" s="36"/>
      <x:c r="L46" s="36"/>
      <x:c r="M46" s="36"/>
      <x:c r="N46" s="45"/>
      <x:c r="O46" s="48" t="str">
        <x:f>IF(B46="","",AVERAGE(IFERROR(VLOOKUP(D46,'Справочники'!$A$5:$B$14,2,FALSE),0),IFERROR(VLOOKUP(E46,'Справочники'!$D$5:$E$12,2,FALSE),0),IFERROR(VLOOKUP(F46,'Справочники'!$G$5:$H$12,2,FALSE),0),IFERROR(VLOOKUP(G46,'Справочники'!$J$5:$K$12,2,FALSE),0)))</x:f>
      </x:c>
      <x:c r="P46" s="36"/>
    </x:row>
    <x:row r="47" ht="44" customHeight="1">
      <x:c r="A47" s="39"/>
      <x:c r="B47" s="36"/>
      <x:c r="C47" s="36"/>
      <x:c r="D47" s="42"/>
      <x:c r="E47" s="42"/>
      <x:c r="F47" s="42"/>
      <x:c r="G47" s="42"/>
      <x:c r="H47" s="42"/>
      <x:c r="I47" s="42"/>
      <x:c r="J47" s="36"/>
      <x:c r="K47" s="36"/>
      <x:c r="L47" s="36"/>
      <x:c r="M47" s="36"/>
      <x:c r="N47" s="45"/>
      <x:c r="O47" s="48" t="str">
        <x:f>IF(B47="","",AVERAGE(IFERROR(VLOOKUP(D47,'Справочники'!$A$5:$B$14,2,FALSE),0),IFERROR(VLOOKUP(E47,'Справочники'!$D$5:$E$12,2,FALSE),0),IFERROR(VLOOKUP(F47,'Справочники'!$G$5:$H$12,2,FALSE),0),IFERROR(VLOOKUP(G47,'Справочники'!$J$5:$K$12,2,FALSE),0)))</x:f>
      </x:c>
      <x:c r="P47" s="36"/>
    </x:row>
    <x:row r="48" ht="44" customHeight="1">
      <x:c r="A48" s="39"/>
      <x:c r="B48" s="36"/>
      <x:c r="C48" s="36"/>
      <x:c r="D48" s="42"/>
      <x:c r="E48" s="42"/>
      <x:c r="F48" s="42"/>
      <x:c r="G48" s="42"/>
      <x:c r="H48" s="42"/>
      <x:c r="I48" s="42"/>
      <x:c r="J48" s="36"/>
      <x:c r="K48" s="36"/>
      <x:c r="L48" s="36"/>
      <x:c r="M48" s="36"/>
      <x:c r="N48" s="45"/>
      <x:c r="O48" s="48" t="str">
        <x:f>IF(B48="","",AVERAGE(IFERROR(VLOOKUP(D48,'Справочники'!$A$5:$B$14,2,FALSE),0),IFERROR(VLOOKUP(E48,'Справочники'!$D$5:$E$12,2,FALSE),0),IFERROR(VLOOKUP(F48,'Справочники'!$G$5:$H$12,2,FALSE),0),IFERROR(VLOOKUP(G48,'Справочники'!$J$5:$K$12,2,FALSE),0)))</x:f>
      </x:c>
      <x:c r="P48" s="36"/>
    </x:row>
    <x:row r="49" ht="44" customHeight="1">
      <x:c r="A49" s="39"/>
      <x:c r="B49" s="36"/>
      <x:c r="C49" s="36"/>
      <x:c r="D49" s="42"/>
      <x:c r="E49" s="42"/>
      <x:c r="F49" s="42"/>
      <x:c r="G49" s="42"/>
      <x:c r="H49" s="42"/>
      <x:c r="I49" s="42"/>
      <x:c r="J49" s="36"/>
      <x:c r="K49" s="36"/>
      <x:c r="L49" s="36"/>
      <x:c r="M49" s="36"/>
      <x:c r="N49" s="45"/>
      <x:c r="O49" s="48" t="str">
        <x:f>IF(B49="","",AVERAGE(IFERROR(VLOOKUP(D49,'Справочники'!$A$5:$B$14,2,FALSE),0),IFERROR(VLOOKUP(E49,'Справочники'!$D$5:$E$12,2,FALSE),0),IFERROR(VLOOKUP(F49,'Справочники'!$G$5:$H$12,2,FALSE),0),IFERROR(VLOOKUP(G49,'Справочники'!$J$5:$K$12,2,FALSE),0)))</x:f>
      </x:c>
      <x:c r="P49" s="36"/>
    </x:row>
    <x:row r="50" ht="44" customHeight="1">
      <x:c r="A50" s="39"/>
      <x:c r="B50" s="36"/>
      <x:c r="C50" s="36"/>
      <x:c r="D50" s="42"/>
      <x:c r="E50" s="42"/>
      <x:c r="F50" s="42"/>
      <x:c r="G50" s="42"/>
      <x:c r="H50" s="42"/>
      <x:c r="I50" s="42"/>
      <x:c r="J50" s="36"/>
      <x:c r="K50" s="36"/>
      <x:c r="L50" s="36"/>
      <x:c r="M50" s="36"/>
      <x:c r="N50" s="45"/>
      <x:c r="O50" s="48" t="str">
        <x:f>IF(B50="","",AVERAGE(IFERROR(VLOOKUP(D50,'Справочники'!$A$5:$B$14,2,FALSE),0),IFERROR(VLOOKUP(E50,'Справочники'!$D$5:$E$12,2,FALSE),0),IFERROR(VLOOKUP(F50,'Справочники'!$G$5:$H$12,2,FALSE),0),IFERROR(VLOOKUP(G50,'Справочники'!$J$5:$K$12,2,FALSE),0)))</x:f>
      </x:c>
      <x:c r="P50" s="36"/>
    </x:row>
    <x:row r="51" ht="44" customHeight="1">
      <x:c r="A51" s="39"/>
      <x:c r="B51" s="36"/>
      <x:c r="C51" s="36"/>
      <x:c r="D51" s="42"/>
      <x:c r="E51" s="42"/>
      <x:c r="F51" s="42"/>
      <x:c r="G51" s="42"/>
      <x:c r="H51" s="42"/>
      <x:c r="I51" s="42"/>
      <x:c r="J51" s="36"/>
      <x:c r="K51" s="36"/>
      <x:c r="L51" s="36"/>
      <x:c r="M51" s="36"/>
      <x:c r="N51" s="45"/>
      <x:c r="O51" s="48" t="str">
        <x:f>IF(B51="","",AVERAGE(IFERROR(VLOOKUP(D51,'Справочники'!$A$5:$B$14,2,FALSE),0),IFERROR(VLOOKUP(E51,'Справочники'!$D$5:$E$12,2,FALSE),0),IFERROR(VLOOKUP(F51,'Справочники'!$G$5:$H$12,2,FALSE),0),IFERROR(VLOOKUP(G51,'Справочники'!$J$5:$K$12,2,FALSE),0)))</x:f>
      </x:c>
      <x:c r="P51" s="36"/>
    </x:row>
    <x:row r="52" ht="44" customHeight="1">
      <x:c r="A52" s="39"/>
      <x:c r="B52" s="36"/>
      <x:c r="C52" s="36"/>
      <x:c r="D52" s="42"/>
      <x:c r="E52" s="42"/>
      <x:c r="F52" s="42"/>
      <x:c r="G52" s="42"/>
      <x:c r="H52" s="42"/>
      <x:c r="I52" s="42"/>
      <x:c r="J52" s="36"/>
      <x:c r="K52" s="36"/>
      <x:c r="L52" s="36"/>
      <x:c r="M52" s="36"/>
      <x:c r="N52" s="45"/>
      <x:c r="O52" s="48" t="str">
        <x:f>IF(B52="","",AVERAGE(IFERROR(VLOOKUP(D52,'Справочники'!$A$5:$B$14,2,FALSE),0),IFERROR(VLOOKUP(E52,'Справочники'!$D$5:$E$12,2,FALSE),0),IFERROR(VLOOKUP(F52,'Справочники'!$G$5:$H$12,2,FALSE),0),IFERROR(VLOOKUP(G52,'Справочники'!$J$5:$K$12,2,FALSE),0)))</x:f>
      </x:c>
      <x:c r="P52" s="36"/>
    </x:row>
    <x:row r="53" ht="44" customHeight="1">
      <x:c r="A53" s="39"/>
      <x:c r="B53" s="36"/>
      <x:c r="C53" s="36"/>
      <x:c r="D53" s="42"/>
      <x:c r="E53" s="42"/>
      <x:c r="F53" s="42"/>
      <x:c r="G53" s="42"/>
      <x:c r="H53" s="42"/>
      <x:c r="I53" s="42"/>
      <x:c r="J53" s="36"/>
      <x:c r="K53" s="36"/>
      <x:c r="L53" s="36"/>
      <x:c r="M53" s="36"/>
      <x:c r="N53" s="45"/>
      <x:c r="O53" s="48" t="str">
        <x:f>IF(B53="","",AVERAGE(IFERROR(VLOOKUP(D53,'Справочники'!$A$5:$B$14,2,FALSE),0),IFERROR(VLOOKUP(E53,'Справочники'!$D$5:$E$12,2,FALSE),0),IFERROR(VLOOKUP(F53,'Справочники'!$G$5:$H$12,2,FALSE),0),IFERROR(VLOOKUP(G53,'Справочники'!$J$5:$K$12,2,FALSE),0)))</x:f>
      </x:c>
      <x:c r="P53" s="36"/>
    </x:row>
    <x:row r="54" ht="44" customHeight="1">
      <x:c r="A54" s="39"/>
      <x:c r="B54" s="36"/>
      <x:c r="C54" s="36"/>
      <x:c r="D54" s="42"/>
      <x:c r="E54" s="42"/>
      <x:c r="F54" s="42"/>
      <x:c r="G54" s="42"/>
      <x:c r="H54" s="42"/>
      <x:c r="I54" s="42"/>
      <x:c r="J54" s="36"/>
      <x:c r="K54" s="36"/>
      <x:c r="L54" s="36"/>
      <x:c r="M54" s="36"/>
      <x:c r="N54" s="45"/>
      <x:c r="O54" s="48" t="str">
        <x:f>IF(B54="","",AVERAGE(IFERROR(VLOOKUP(D54,'Справочники'!$A$5:$B$14,2,FALSE),0),IFERROR(VLOOKUP(E54,'Справочники'!$D$5:$E$12,2,FALSE),0),IFERROR(VLOOKUP(F54,'Справочники'!$G$5:$H$12,2,FALSE),0),IFERROR(VLOOKUP(G54,'Справочники'!$J$5:$K$12,2,FALSE),0)))</x:f>
      </x:c>
      <x:c r="P54" s="36"/>
    </x:row>
    <x:row r="55" ht="44" customHeight="1">
      <x:c r="A55" s="39"/>
      <x:c r="B55" s="36"/>
      <x:c r="C55" s="36"/>
      <x:c r="D55" s="42"/>
      <x:c r="E55" s="42"/>
      <x:c r="F55" s="42"/>
      <x:c r="G55" s="42"/>
      <x:c r="H55" s="42"/>
      <x:c r="I55" s="42"/>
      <x:c r="J55" s="36"/>
      <x:c r="K55" s="36"/>
      <x:c r="L55" s="36"/>
      <x:c r="M55" s="36"/>
      <x:c r="N55" s="45"/>
      <x:c r="O55" s="48" t="str">
        <x:f>IF(B55="","",AVERAGE(IFERROR(VLOOKUP(D55,'Справочники'!$A$5:$B$14,2,FALSE),0),IFERROR(VLOOKUP(E55,'Справочники'!$D$5:$E$12,2,FALSE),0),IFERROR(VLOOKUP(F55,'Справочники'!$G$5:$H$12,2,FALSE),0),IFERROR(VLOOKUP(G55,'Справочники'!$J$5:$K$12,2,FALSE),0)))</x:f>
      </x:c>
      <x:c r="P55" s="36"/>
    </x:row>
    <x:row r="56" ht="44" customHeight="1">
      <x:c r="A56" s="39"/>
      <x:c r="B56" s="36"/>
      <x:c r="C56" s="36"/>
      <x:c r="D56" s="42"/>
      <x:c r="E56" s="42"/>
      <x:c r="F56" s="42"/>
      <x:c r="G56" s="42"/>
      <x:c r="H56" s="42"/>
      <x:c r="I56" s="42"/>
      <x:c r="J56" s="36"/>
      <x:c r="K56" s="36"/>
      <x:c r="L56" s="36"/>
      <x:c r="M56" s="36"/>
      <x:c r="N56" s="45"/>
      <x:c r="O56" s="48" t="str">
        <x:f>IF(B56="","",AVERAGE(IFERROR(VLOOKUP(D56,'Справочники'!$A$5:$B$14,2,FALSE),0),IFERROR(VLOOKUP(E56,'Справочники'!$D$5:$E$12,2,FALSE),0),IFERROR(VLOOKUP(F56,'Справочники'!$G$5:$H$12,2,FALSE),0),IFERROR(VLOOKUP(G56,'Справочники'!$J$5:$K$12,2,FALSE),0)))</x:f>
      </x:c>
      <x:c r="P56" s="36"/>
    </x:row>
    <x:row r="57" ht="44" customHeight="1">
      <x:c r="A57" s="39"/>
      <x:c r="B57" s="36"/>
      <x:c r="C57" s="36"/>
      <x:c r="D57" s="42"/>
      <x:c r="E57" s="42"/>
      <x:c r="F57" s="42"/>
      <x:c r="G57" s="42"/>
      <x:c r="H57" s="42"/>
      <x:c r="I57" s="42"/>
      <x:c r="J57" s="36"/>
      <x:c r="K57" s="36"/>
      <x:c r="L57" s="36"/>
      <x:c r="M57" s="36"/>
      <x:c r="N57" s="45"/>
      <x:c r="O57" s="48" t="str">
        <x:f>IF(B57="","",AVERAGE(IFERROR(VLOOKUP(D57,'Справочники'!$A$5:$B$14,2,FALSE),0),IFERROR(VLOOKUP(E57,'Справочники'!$D$5:$E$12,2,FALSE),0),IFERROR(VLOOKUP(F57,'Справочники'!$G$5:$H$12,2,FALSE),0),IFERROR(VLOOKUP(G57,'Справочники'!$J$5:$K$12,2,FALSE),0)))</x:f>
      </x:c>
      <x:c r="P57" s="36"/>
    </x:row>
    <x:row r="58" ht="44" customHeight="1">
      <x:c r="A58" s="39"/>
      <x:c r="B58" s="36"/>
      <x:c r="C58" s="36"/>
      <x:c r="D58" s="42"/>
      <x:c r="E58" s="42"/>
      <x:c r="F58" s="42"/>
      <x:c r="G58" s="42"/>
      <x:c r="H58" s="42"/>
      <x:c r="I58" s="42"/>
      <x:c r="J58" s="36"/>
      <x:c r="K58" s="36"/>
      <x:c r="L58" s="36"/>
      <x:c r="M58" s="36"/>
      <x:c r="N58" s="45"/>
      <x:c r="O58" s="48" t="str">
        <x:f>IF(B58="","",AVERAGE(IFERROR(VLOOKUP(D58,'Справочники'!$A$5:$B$14,2,FALSE),0),IFERROR(VLOOKUP(E58,'Справочники'!$D$5:$E$12,2,FALSE),0),IFERROR(VLOOKUP(F58,'Справочники'!$G$5:$H$12,2,FALSE),0),IFERROR(VLOOKUP(G58,'Справочники'!$J$5:$K$12,2,FALSE),0)))</x:f>
      </x:c>
      <x:c r="P58" s="36"/>
    </x:row>
    <x:row r="59" ht="44" customHeight="1">
      <x:c r="A59" s="39"/>
      <x:c r="B59" s="36"/>
      <x:c r="C59" s="36"/>
      <x:c r="D59" s="42"/>
      <x:c r="E59" s="42"/>
      <x:c r="F59" s="42"/>
      <x:c r="G59" s="42"/>
      <x:c r="H59" s="42"/>
      <x:c r="I59" s="42"/>
      <x:c r="J59" s="36"/>
      <x:c r="K59" s="36"/>
      <x:c r="L59" s="36"/>
      <x:c r="M59" s="36"/>
      <x:c r="N59" s="45"/>
      <x:c r="O59" s="48" t="str">
        <x:f>IF(B59="","",AVERAGE(IFERROR(VLOOKUP(D59,'Справочники'!$A$5:$B$14,2,FALSE),0),IFERROR(VLOOKUP(E59,'Справочники'!$D$5:$E$12,2,FALSE),0),IFERROR(VLOOKUP(F59,'Справочники'!$G$5:$H$12,2,FALSE),0),IFERROR(VLOOKUP(G59,'Справочники'!$J$5:$K$12,2,FALSE),0)))</x:f>
      </x:c>
      <x:c r="P59" s="36"/>
    </x:row>
    <x:row r="60" ht="44" customHeight="1">
      <x:c r="A60" s="39"/>
      <x:c r="B60" s="36"/>
      <x:c r="C60" s="36"/>
      <x:c r="D60" s="42"/>
      <x:c r="E60" s="42"/>
      <x:c r="F60" s="42"/>
      <x:c r="G60" s="42"/>
      <x:c r="H60" s="42"/>
      <x:c r="I60" s="42"/>
      <x:c r="J60" s="36"/>
      <x:c r="K60" s="36"/>
      <x:c r="L60" s="36"/>
      <x:c r="M60" s="36"/>
      <x:c r="N60" s="45"/>
      <x:c r="O60" s="48" t="str">
        <x:f>IF(B60="","",AVERAGE(IFERROR(VLOOKUP(D60,'Справочники'!$A$5:$B$14,2,FALSE),0),IFERROR(VLOOKUP(E60,'Справочники'!$D$5:$E$12,2,FALSE),0),IFERROR(VLOOKUP(F60,'Справочники'!$G$5:$H$12,2,FALSE),0),IFERROR(VLOOKUP(G60,'Справочники'!$J$5:$K$12,2,FALSE),0)))</x:f>
      </x:c>
      <x:c r="P60" s="36"/>
    </x:row>
    <x:row r="61" ht="44" customHeight="1">
      <x:c r="A61" s="39"/>
      <x:c r="B61" s="36"/>
      <x:c r="C61" s="36"/>
      <x:c r="D61" s="42"/>
      <x:c r="E61" s="42"/>
      <x:c r="F61" s="42"/>
      <x:c r="G61" s="42"/>
      <x:c r="H61" s="42"/>
      <x:c r="I61" s="42"/>
      <x:c r="J61" s="36"/>
      <x:c r="K61" s="36"/>
      <x:c r="L61" s="36"/>
      <x:c r="M61" s="36"/>
      <x:c r="N61" s="45"/>
      <x:c r="O61" s="48" t="str">
        <x:f>IF(B61="","",AVERAGE(IFERROR(VLOOKUP(D61,'Справочники'!$A$5:$B$14,2,FALSE),0),IFERROR(VLOOKUP(E61,'Справочники'!$D$5:$E$12,2,FALSE),0),IFERROR(VLOOKUP(F61,'Справочники'!$G$5:$H$12,2,FALSE),0),IFERROR(VLOOKUP(G61,'Справочники'!$J$5:$K$12,2,FALSE),0)))</x:f>
      </x:c>
      <x:c r="P61" s="36"/>
    </x:row>
    <x:row r="62" ht="44" customHeight="1">
      <x:c r="A62" s="39"/>
      <x:c r="B62" s="36"/>
      <x:c r="C62" s="36"/>
      <x:c r="D62" s="42"/>
      <x:c r="E62" s="42"/>
      <x:c r="F62" s="42"/>
      <x:c r="G62" s="42"/>
      <x:c r="H62" s="42"/>
      <x:c r="I62" s="42"/>
      <x:c r="J62" s="36"/>
      <x:c r="K62" s="36"/>
      <x:c r="L62" s="36"/>
      <x:c r="M62" s="36"/>
      <x:c r="N62" s="45"/>
      <x:c r="O62" s="48" t="str">
        <x:f>IF(B62="","",AVERAGE(IFERROR(VLOOKUP(D62,'Справочники'!$A$5:$B$14,2,FALSE),0),IFERROR(VLOOKUP(E62,'Справочники'!$D$5:$E$12,2,FALSE),0),IFERROR(VLOOKUP(F62,'Справочники'!$G$5:$H$12,2,FALSE),0),IFERROR(VLOOKUP(G62,'Справочники'!$J$5:$K$12,2,FALSE),0)))</x:f>
      </x:c>
      <x:c r="P62" s="36"/>
    </x:row>
    <x:row r="63" ht="44" customHeight="1">
      <x:c r="A63" s="39"/>
      <x:c r="B63" s="36"/>
      <x:c r="C63" s="36"/>
      <x:c r="D63" s="42"/>
      <x:c r="E63" s="42"/>
      <x:c r="F63" s="42"/>
      <x:c r="G63" s="42"/>
      <x:c r="H63" s="42"/>
      <x:c r="I63" s="42"/>
      <x:c r="J63" s="36"/>
      <x:c r="K63" s="36"/>
      <x:c r="L63" s="36"/>
      <x:c r="M63" s="36"/>
      <x:c r="N63" s="45"/>
      <x:c r="O63" s="48" t="str">
        <x:f>IF(B63="","",AVERAGE(IFERROR(VLOOKUP(D63,'Справочники'!$A$5:$B$14,2,FALSE),0),IFERROR(VLOOKUP(E63,'Справочники'!$D$5:$E$12,2,FALSE),0),IFERROR(VLOOKUP(F63,'Справочники'!$G$5:$H$12,2,FALSE),0),IFERROR(VLOOKUP(G63,'Справочники'!$J$5:$K$12,2,FALSE),0)))</x:f>
      </x:c>
      <x:c r="P63" s="36"/>
    </x:row>
    <x:row r="64" ht="44" customHeight="1">
      <x:c r="A64" s="39"/>
      <x:c r="B64" s="36"/>
      <x:c r="C64" s="36"/>
      <x:c r="D64" s="42"/>
      <x:c r="E64" s="42"/>
      <x:c r="F64" s="42"/>
      <x:c r="G64" s="42"/>
      <x:c r="H64" s="42"/>
      <x:c r="I64" s="42"/>
      <x:c r="J64" s="36"/>
      <x:c r="K64" s="36"/>
      <x:c r="L64" s="36"/>
      <x:c r="M64" s="36"/>
      <x:c r="N64" s="45"/>
      <x:c r="O64" s="48" t="str">
        <x:f>IF(B64="","",AVERAGE(IFERROR(VLOOKUP(D64,'Справочники'!$A$5:$B$14,2,FALSE),0),IFERROR(VLOOKUP(E64,'Справочники'!$D$5:$E$12,2,FALSE),0),IFERROR(VLOOKUP(F64,'Справочники'!$G$5:$H$12,2,FALSE),0),IFERROR(VLOOKUP(G64,'Справочники'!$J$5:$K$12,2,FALSE),0)))</x:f>
      </x:c>
      <x:c r="P64" s="36"/>
    </x:row>
    <x:row r="65" ht="44" customHeight="1">
      <x:c r="A65" s="39"/>
      <x:c r="B65" s="36"/>
      <x:c r="C65" s="36"/>
      <x:c r="D65" s="42"/>
      <x:c r="E65" s="42"/>
      <x:c r="F65" s="42"/>
      <x:c r="G65" s="42"/>
      <x:c r="H65" s="42"/>
      <x:c r="I65" s="42"/>
      <x:c r="J65" s="36"/>
      <x:c r="K65" s="36"/>
      <x:c r="L65" s="36"/>
      <x:c r="M65" s="36"/>
      <x:c r="N65" s="45"/>
      <x:c r="O65" s="48" t="str">
        <x:f>IF(B65="","",AVERAGE(IFERROR(VLOOKUP(D65,'Справочники'!$A$5:$B$14,2,FALSE),0),IFERROR(VLOOKUP(E65,'Справочники'!$D$5:$E$12,2,FALSE),0),IFERROR(VLOOKUP(F65,'Справочники'!$G$5:$H$12,2,FALSE),0),IFERROR(VLOOKUP(G65,'Справочники'!$J$5:$K$12,2,FALSE),0)))</x:f>
      </x:c>
      <x:c r="P65" s="36"/>
    </x:row>
    <x:row r="66" ht="44" customHeight="1">
      <x:c r="A66" s="39"/>
      <x:c r="B66" s="36"/>
      <x:c r="C66" s="36"/>
      <x:c r="D66" s="42"/>
      <x:c r="E66" s="42"/>
      <x:c r="F66" s="42"/>
      <x:c r="G66" s="42"/>
      <x:c r="H66" s="42"/>
      <x:c r="I66" s="42"/>
      <x:c r="J66" s="36"/>
      <x:c r="K66" s="36"/>
      <x:c r="L66" s="36"/>
      <x:c r="M66" s="36"/>
      <x:c r="N66" s="45"/>
      <x:c r="O66" s="48" t="str">
        <x:f>IF(B66="","",AVERAGE(IFERROR(VLOOKUP(D66,'Справочники'!$A$5:$B$14,2,FALSE),0),IFERROR(VLOOKUP(E66,'Справочники'!$D$5:$E$12,2,FALSE),0),IFERROR(VLOOKUP(F66,'Справочники'!$G$5:$H$12,2,FALSE),0),IFERROR(VLOOKUP(G66,'Справочники'!$J$5:$K$12,2,FALSE),0)))</x:f>
      </x:c>
      <x:c r="P66" s="36"/>
    </x:row>
    <x:row r="67" ht="44" customHeight="1">
      <x:c r="A67" s="39"/>
      <x:c r="B67" s="36"/>
      <x:c r="C67" s="36"/>
      <x:c r="D67" s="42"/>
      <x:c r="E67" s="42"/>
      <x:c r="F67" s="42"/>
      <x:c r="G67" s="42"/>
      <x:c r="H67" s="42"/>
      <x:c r="I67" s="42"/>
      <x:c r="J67" s="36"/>
      <x:c r="K67" s="36"/>
      <x:c r="L67" s="36"/>
      <x:c r="M67" s="36"/>
      <x:c r="N67" s="45"/>
      <x:c r="O67" s="48" t="str">
        <x:f>IF(B67="","",AVERAGE(IFERROR(VLOOKUP(D67,'Справочники'!$A$5:$B$14,2,FALSE),0),IFERROR(VLOOKUP(E67,'Справочники'!$D$5:$E$12,2,FALSE),0),IFERROR(VLOOKUP(F67,'Справочники'!$G$5:$H$12,2,FALSE),0),IFERROR(VLOOKUP(G67,'Справочники'!$J$5:$K$12,2,FALSE),0)))</x:f>
      </x:c>
      <x:c r="P67" s="36"/>
    </x:row>
    <x:row r="68" ht="44" customHeight="1">
      <x:c r="A68" s="39"/>
      <x:c r="B68" s="36"/>
      <x:c r="C68" s="36"/>
      <x:c r="D68" s="42"/>
      <x:c r="E68" s="42"/>
      <x:c r="F68" s="42"/>
      <x:c r="G68" s="42"/>
      <x:c r="H68" s="42"/>
      <x:c r="I68" s="42"/>
      <x:c r="J68" s="36"/>
      <x:c r="K68" s="36"/>
      <x:c r="L68" s="36"/>
      <x:c r="M68" s="36"/>
      <x:c r="N68" s="45"/>
      <x:c r="O68" s="48" t="str">
        <x:f>IF(B68="","",AVERAGE(IFERROR(VLOOKUP(D68,'Справочники'!$A$5:$B$14,2,FALSE),0),IFERROR(VLOOKUP(E68,'Справочники'!$D$5:$E$12,2,FALSE),0),IFERROR(VLOOKUP(F68,'Справочники'!$G$5:$H$12,2,FALSE),0),IFERROR(VLOOKUP(G68,'Справочники'!$J$5:$K$12,2,FALSE),0)))</x:f>
      </x:c>
      <x:c r="P68" s="36"/>
    </x:row>
    <x:row r="69" ht="44" customHeight="1">
      <x:c r="A69" s="39"/>
      <x:c r="B69" s="36"/>
      <x:c r="C69" s="36"/>
      <x:c r="D69" s="42"/>
      <x:c r="E69" s="42"/>
      <x:c r="F69" s="42"/>
      <x:c r="G69" s="42"/>
      <x:c r="H69" s="42"/>
      <x:c r="I69" s="42"/>
      <x:c r="J69" s="36"/>
      <x:c r="K69" s="36"/>
      <x:c r="L69" s="36"/>
      <x:c r="M69" s="36"/>
      <x:c r="N69" s="45"/>
      <x:c r="O69" s="48" t="str">
        <x:f>IF(B69="","",AVERAGE(IFERROR(VLOOKUP(D69,'Справочники'!$A$5:$B$14,2,FALSE),0),IFERROR(VLOOKUP(E69,'Справочники'!$D$5:$E$12,2,FALSE),0),IFERROR(VLOOKUP(F69,'Справочники'!$G$5:$H$12,2,FALSE),0),IFERROR(VLOOKUP(G69,'Справочники'!$J$5:$K$12,2,FALSE),0)))</x:f>
      </x:c>
      <x:c r="P69" s="36"/>
    </x:row>
    <x:row r="70" ht="44" customHeight="1">
      <x:c r="A70" s="39"/>
      <x:c r="B70" s="36"/>
      <x:c r="C70" s="36"/>
      <x:c r="D70" s="42"/>
      <x:c r="E70" s="42"/>
      <x:c r="F70" s="42"/>
      <x:c r="G70" s="42"/>
      <x:c r="H70" s="42"/>
      <x:c r="I70" s="42"/>
      <x:c r="J70" s="36"/>
      <x:c r="K70" s="36"/>
      <x:c r="L70" s="36"/>
      <x:c r="M70" s="36"/>
      <x:c r="N70" s="45"/>
      <x:c r="O70" s="48" t="str">
        <x:f>IF(B70="","",AVERAGE(IFERROR(VLOOKUP(D70,'Справочники'!$A$5:$B$14,2,FALSE),0),IFERROR(VLOOKUP(E70,'Справочники'!$D$5:$E$12,2,FALSE),0),IFERROR(VLOOKUP(F70,'Справочники'!$G$5:$H$12,2,FALSE),0),IFERROR(VLOOKUP(G70,'Справочники'!$J$5:$K$12,2,FALSE),0)))</x:f>
      </x:c>
      <x:c r="P70" s="36"/>
    </x:row>
    <x:row r="71" ht="44" customHeight="1">
      <x:c r="A71" s="39"/>
      <x:c r="B71" s="36"/>
      <x:c r="C71" s="36"/>
      <x:c r="D71" s="42"/>
      <x:c r="E71" s="42"/>
      <x:c r="F71" s="42"/>
      <x:c r="G71" s="42"/>
      <x:c r="H71" s="42"/>
      <x:c r="I71" s="42"/>
      <x:c r="J71" s="36"/>
      <x:c r="K71" s="36"/>
      <x:c r="L71" s="36"/>
      <x:c r="M71" s="36"/>
      <x:c r="N71" s="45"/>
      <x:c r="O71" s="48" t="str">
        <x:f>IF(B71="","",AVERAGE(IFERROR(VLOOKUP(D71,'Справочники'!$A$5:$B$14,2,FALSE),0),IFERROR(VLOOKUP(E71,'Справочники'!$D$5:$E$12,2,FALSE),0),IFERROR(VLOOKUP(F71,'Справочники'!$G$5:$H$12,2,FALSE),0),IFERROR(VLOOKUP(G71,'Справочники'!$J$5:$K$12,2,FALSE),0)))</x:f>
      </x:c>
      <x:c r="P71" s="36"/>
    </x:row>
    <x:row r="72" ht="44" customHeight="1">
      <x:c r="A72" s="39"/>
      <x:c r="B72" s="36"/>
      <x:c r="C72" s="36"/>
      <x:c r="D72" s="42"/>
      <x:c r="E72" s="42"/>
      <x:c r="F72" s="42"/>
      <x:c r="G72" s="42"/>
      <x:c r="H72" s="42"/>
      <x:c r="I72" s="42"/>
      <x:c r="J72" s="36"/>
      <x:c r="K72" s="36"/>
      <x:c r="L72" s="36"/>
      <x:c r="M72" s="36"/>
      <x:c r="N72" s="45"/>
      <x:c r="O72" s="48" t="str">
        <x:f>IF(B72="","",AVERAGE(IFERROR(VLOOKUP(D72,'Справочники'!$A$5:$B$14,2,FALSE),0),IFERROR(VLOOKUP(E72,'Справочники'!$D$5:$E$12,2,FALSE),0),IFERROR(VLOOKUP(F72,'Справочники'!$G$5:$H$12,2,FALSE),0),IFERROR(VLOOKUP(G72,'Справочники'!$J$5:$K$12,2,FALSE),0)))</x:f>
      </x:c>
      <x:c r="P72" s="36"/>
    </x:row>
    <x:row r="73" ht="44" customHeight="1">
      <x:c r="A73" s="39"/>
      <x:c r="B73" s="36"/>
      <x:c r="C73" s="36"/>
      <x:c r="D73" s="42"/>
      <x:c r="E73" s="42"/>
      <x:c r="F73" s="42"/>
      <x:c r="G73" s="42"/>
      <x:c r="H73" s="42"/>
      <x:c r="I73" s="42"/>
      <x:c r="J73" s="36"/>
      <x:c r="K73" s="36"/>
      <x:c r="L73" s="36"/>
      <x:c r="M73" s="36"/>
      <x:c r="N73" s="45"/>
      <x:c r="O73" s="48" t="str">
        <x:f>IF(B73="","",AVERAGE(IFERROR(VLOOKUP(D73,'Справочники'!$A$5:$B$14,2,FALSE),0),IFERROR(VLOOKUP(E73,'Справочники'!$D$5:$E$12,2,FALSE),0),IFERROR(VLOOKUP(F73,'Справочники'!$G$5:$H$12,2,FALSE),0),IFERROR(VLOOKUP(G73,'Справочники'!$J$5:$K$12,2,FALSE),0)))</x:f>
      </x:c>
      <x:c r="P73" s="36"/>
    </x:row>
    <x:row r="74" ht="44" customHeight="1">
      <x:c r="A74" s="39"/>
      <x:c r="B74" s="36"/>
      <x:c r="C74" s="36"/>
      <x:c r="D74" s="42"/>
      <x:c r="E74" s="42"/>
      <x:c r="F74" s="42"/>
      <x:c r="G74" s="42"/>
      <x:c r="H74" s="42"/>
      <x:c r="I74" s="42"/>
      <x:c r="J74" s="36"/>
      <x:c r="K74" s="36"/>
      <x:c r="L74" s="36"/>
      <x:c r="M74" s="36"/>
      <x:c r="N74" s="45"/>
      <x:c r="O74" s="48" t="str">
        <x:f>IF(B74="","",AVERAGE(IFERROR(VLOOKUP(D74,'Справочники'!$A$5:$B$14,2,FALSE),0),IFERROR(VLOOKUP(E74,'Справочники'!$D$5:$E$12,2,FALSE),0),IFERROR(VLOOKUP(F74,'Справочники'!$G$5:$H$12,2,FALSE),0),IFERROR(VLOOKUP(G74,'Справочники'!$J$5:$K$12,2,FALSE),0)))</x:f>
      </x:c>
      <x:c r="P74" s="36"/>
    </x:row>
    <x:row r="75" ht="44" customHeight="1">
      <x:c r="A75" s="40"/>
      <x:c r="B75" s="37"/>
      <x:c r="C75" s="37"/>
      <x:c r="D75" s="43"/>
      <x:c r="E75" s="43"/>
      <x:c r="F75" s="43"/>
      <x:c r="G75" s="43"/>
      <x:c r="H75" s="43"/>
      <x:c r="I75" s="43"/>
      <x:c r="J75" s="37"/>
      <x:c r="K75" s="37"/>
      <x:c r="L75" s="37"/>
      <x:c r="M75" s="37"/>
      <x:c r="N75" s="46"/>
      <x:c r="O75" s="49" t="str">
        <x:f>IF(B75="","",AVERAGE(IFERROR(VLOOKUP(D75,'Справочники'!$A$5:$B$14,2,FALSE),0),IFERROR(VLOOKUP(E75,'Справочники'!$D$5:$E$12,2,FALSE),0),IFERROR(VLOOKUP(F75,'Справочники'!$G$5:$H$12,2,FALSE),0),IFERROR(VLOOKUP(G75,'Справочники'!$J$5:$K$12,2,FALSE),0)))</x:f>
      </x:c>
      <x:c r="P75" s="37"/>
    </x:row>
  </x:sheetData>
  <x:mergeCells>
    <x:mergeCell ref="A1:P1"/>
    <x:mergeCell ref="A2:P2"/>
    <x:mergeCell ref="A3:B3"/>
    <x:mergeCell ref="C3:D3"/>
    <x:mergeCell ref="E3:F3"/>
    <x:mergeCell ref="G3:H3"/>
    <x:mergeCell ref="I3:J3"/>
    <x:mergeCell ref="K3:L3"/>
    <x:mergeCell ref="M3:N3"/>
    <x:mergeCell ref="O3:P3"/>
  </x:mergeCells>
  <x:conditionalFormatting sqref="D6:D75">
    <x:cfRule type="containsText" dxfId="288" priority="1" operator="containsText" text="Готово local/mock"/>
    <x:cfRule type="expression" dxfId="289" priority="2">
      <x:formula>$D6="Готово"</x:formula>
    </x:cfRule>
    <x:cfRule type="containsText" dxfId="290" priority="3" operator="containsText" text="Review"/>
    <x:cfRule type="containsText" dxfId="291" priority="4" operator="containsText" text="Draft"/>
    <x:cfRule type="containsText" dxfId="292" priority="5" operator="containsText" text="Отсутствует"/>
    <x:cfRule type="containsText" dxfId="293" priority="6" operator="containsText" text="В работе"/>
  </x:conditionalFormatting>
  <x:conditionalFormatting sqref="E6:E75">
    <x:cfRule type="containsText" dxfId="294" priority="7" operator="containsText" text="Accepted"/>
    <x:cfRule type="containsText" dxfId="295" priority="8" operator="containsText" text="Canonical"/>
    <x:cfRule type="containsText" dxfId="296" priority="9" operator="containsText" text="Approved"/>
    <x:cfRule type="containsText" dxfId="297" priority="10" operator="containsText" text="Review"/>
    <x:cfRule type="containsText" dxfId="298" priority="11" operator="containsText" text="Draft"/>
    <x:cfRule type="containsText" dxfId="299" priority="12" operator="containsText" text="Отсутствует"/>
  </x:conditionalFormatting>
  <x:conditionalFormatting sqref="F6:F75">
    <x:cfRule type="expression" dxfId="300" priority="13">
      <x:formula>$F6="Production"</x:formula>
    </x:cfRule>
    <x:cfRule type="expression" dxfId="301" priority="14">
      <x:formula>$F6="Local/mock"</x:formula>
    </x:cfRule>
    <x:cfRule type="expression" dxfId="302" priority="15">
      <x:formula>$F6="Pure domain"</x:formula>
    </x:cfRule>
    <x:cfRule type="expression" dxfId="303" priority="16">
      <x:formula>$F6="Отсутствует"</x:formula>
    </x:cfRule>
    <x:cfRule type="expression" dxfId="304" priority="17">
      <x:formula>$F6="Gated"</x:formula>
    </x:cfRule>
  </x:conditionalFormatting>
  <x:conditionalFormatting sqref="G6:G75">
    <x:cfRule type="containsText" dxfId="305" priority="18" operator="containsText" text="Текущие зелёные"/>
    <x:cfRule type="containsText" dxfId="306" priority="19" operator="containsText" text="Исторические зелёные"/>
    <x:cfRule type="containsText" dxfId="307" priority="20" operator="containsText" text="Device pending"/>
    <x:cfRule type="containsText" dxfId="308" priority="21" operator="containsText" text="Не запускались"/>
  </x:conditionalFormatting>
  <x:conditionalFormatting sqref="I6:I75">
    <x:cfRule type="containsText" dxfId="309" priority="22" operator="containsText" text="P0"/>
    <x:cfRule type="containsText" dxfId="310" priority="23" operator="containsText" text="P1"/>
    <x:cfRule type="containsText" dxfId="311" priority="24" operator="containsText" text="P2"/>
  </x:conditionalFormatting>
  <x:conditionalFormatting sqref="O6:O75">
    <x:cfRule type="dataBar" priority="25">
      <x:dataBar>
        <x:cfvo type="min"/>
        <x:cfvo type="max"/>
        <x:color rgb="FF2F6B5C"/>
      </x:dataBar>
      <x:extLst>
        <x:ext xmlns:x14="http://schemas.microsoft.com/office/spreadsheetml/2009/9/main" uri="{B025F937-C7B1-47D3-B67F-A62EFF666E3E}">
          <x14:id>{3A9C9E1F-EEFD-9555-35E6-50D2BC17FC64}</x14:id>
        </x:ext>
      </x:extLst>
    </x:cfRule>
  </x:conditionalFormatting>
  <x:dataValidations count="5">
    <x:dataValidation type="list" sqref="D6:D75">
      <x:formula1>'Справочники'!$A$5:$A$14</x:formula1>
    </x:dataValidation>
    <x:dataValidation type="list" sqref="E6:E75">
      <x:formula1>'Справочники'!$D$5:$D$12</x:formula1>
    </x:dataValidation>
    <x:dataValidation type="list" sqref="F6:F75">
      <x:formula1>'Справочники'!$G$5:$G$12</x:formula1>
    </x:dataValidation>
    <x:dataValidation type="list" sqref="G6:G75">
      <x:formula1>'Справочники'!$J$5:$J$12</x:formula1>
    </x:dataValidation>
    <x:dataValidation type="list" sqref="I6:I75">
      <x:formula1>'Справочники'!$M$5:$M$9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f78194bbecd4b04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5" id="{3A9C9E1F-EEFD-9555-35E6-50D2BC17FC64}">
            <x14:dataBar gradient="1">
              <x14:cfvo type="min"/>
              <x14:cfvo type="max"/>
              <x14:fillColor rgb="FF2F6B5C"/>
            </x14:dataBar>
          </x14:cfRule>
          <xm:sqref>O6:O75</xm:sqref>
        </x14:conditionalFormatting>
      </x14:conditionalFormattings>
    </x:ext>
  </x:extLst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4" hidden="0" customWidth="1"/>
    <x:col min="2" max="2" width="22" hidden="0" customWidth="1"/>
    <x:col min="3" max="3" width="20" hidden="0" customWidth="1"/>
    <x:col min="4" max="4" width="28" hidden="0" customWidth="1"/>
    <x:col min="5" max="5" width="18" hidden="0" customWidth="1"/>
    <x:col min="6" max="6" width="18" hidden="0" customWidth="1"/>
    <x:col min="7" max="7" width="30" hidden="0" customWidth="1"/>
    <x:col min="8" max="8" width="14" hidden="0" customWidth="1"/>
    <x:col min="9" max="9" width="12" hidden="0" customWidth="1"/>
    <x:col min="10" max="10" width="18" hidden="0" customWidth="1"/>
    <x:col min="11" max="11" width="36" hidden="0" customWidth="1"/>
  </x:cols>
  <x:sheetData>
    <x:row r="1" ht="38" customHeight="1">
      <x:c r="A1" s="3" t="str">
        <x:v>РЕЕСТР ФАЙЛОВ RECHARGE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2" customHeight="1">
      <x:c r="A2" s="7" t="str">
        <x:v>Автоматический snapshot: 164 файлов из docs, api_contracts, workflows, tooling и root governance.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3">
      <x:c r="A3" s="51" t="e">
        <x:f>HYPERLINK("#'Паук'!A1","← Вернуться к пауку")</x:f>
        <x:v>HYPERLINK is not implemented. linkLocation=#'Паук'!A1, friendlyName=← Вернуться к пауку</x:v>
      </x:c>
      <x:c r="B3" s="51"/>
    </x:row>
    <x:row r="5">
      <x:c r="A5" s="26" t="str">
        <x:v>Путь</x:v>
      </x:c>
      <x:c r="B5" s="26" t="str">
        <x:v>Категория</x:v>
      </x:c>
      <x:c r="C5" s="26" t="str">
        <x:v>Тип</x:v>
      </x:c>
      <x:c r="D5" s="26" t="str">
        <x:v>Статус</x:v>
      </x:c>
      <x:c r="E5" s="26" t="str">
        <x:v>Версия</x:v>
      </x:c>
      <x:c r="F5" s="26" t="str">
        <x:v>Дата в документе</x:v>
      </x:c>
      <x:c r="G5" s="26" t="str">
        <x:v>Runtime/effect</x:v>
      </x:c>
      <x:c r="H5" s="26" t="str">
        <x:v>Физически есть</x:v>
      </x:c>
      <x:c r="I5" s="26" t="str">
        <x:v>Bytes</x:v>
      </x:c>
      <x:c r="J5" s="26" t="str">
        <x:v>Изменён</x:v>
      </x:c>
      <x:c r="K5" s="26" t="str">
        <x:v>Комментарий</x:v>
      </x:c>
    </x:row>
    <x:row r="6" ht="36" customHeight="1">
      <x:c r="A6" s="72" t="str">
        <x:v>.github/workflows/codegen-check.yml</x:v>
      </x:c>
      <x:c r="B6" s="72" t="str">
        <x:v>Testing CI</x:v>
      </x:c>
      <x:c r="C6" s="72" t="str">
        <x:v>CI workflow</x:v>
      </x:c>
      <x:c r="D6" s="72" t="str">
        <x:v>Не указан</x:v>
      </x:c>
      <x:c r="E6" s="72" t="str"/>
      <x:c r="F6" s="72" t="str"/>
      <x:c r="G6" s="72" t="str"/>
      <x:c r="H6" s="72" t="str">
        <x:v>Да</x:v>
      </x:c>
      <x:c r="I6" s="73" t="n">
        <x:v>1035</x:v>
      </x:c>
      <x:c r="J6" s="74" t="n">
        <x:v>46128.994089189815</x:v>
      </x:c>
      <x:c r="K6" s="72" t="str"/>
    </x:row>
    <x:row r="7" ht="36" customHeight="1">
      <x:c r="A7" s="75" t="str">
        <x:v>.github/workflows/mobile-ci.yml</x:v>
      </x:c>
      <x:c r="B7" s="75" t="str">
        <x:v>Testing CI</x:v>
      </x:c>
      <x:c r="C7" s="75" t="str">
        <x:v>CI workflow</x:v>
      </x:c>
      <x:c r="D7" s="75" t="str">
        <x:v>Не указан</x:v>
      </x:c>
      <x:c r="E7" s="75" t="str"/>
      <x:c r="F7" s="75" t="str"/>
      <x:c r="G7" s="75" t="str"/>
      <x:c r="H7" s="75" t="str">
        <x:v>Да</x:v>
      </x:c>
      <x:c r="I7" s="76" t="n">
        <x:v>930</x:v>
      </x:c>
      <x:c r="J7" s="77" t="n">
        <x:v>46128.99394177083</x:v>
      </x:c>
      <x:c r="K7" s="75" t="str"/>
    </x:row>
    <x:row r="8" ht="36" customHeight="1">
      <x:c r="A8" s="75" t="str">
        <x:v>.github/workflows/mobile-tests.yml</x:v>
      </x:c>
      <x:c r="B8" s="75" t="str">
        <x:v>Testing CI</x:v>
      </x:c>
      <x:c r="C8" s="75" t="str">
        <x:v>CI workflow</x:v>
      </x:c>
      <x:c r="D8" s="75" t="str">
        <x:v>Не указан</x:v>
      </x:c>
      <x:c r="E8" s="75" t="str"/>
      <x:c r="F8" s="75" t="str"/>
      <x:c r="G8" s="75" t="str"/>
      <x:c r="H8" s="75" t="str">
        <x:v>Да</x:v>
      </x:c>
      <x:c r="I8" s="76" t="n">
        <x:v>735</x:v>
      </x:c>
      <x:c r="J8" s="77" t="n">
        <x:v>46128.99400840278</x:v>
      </x:c>
      <x:c r="K8" s="75" t="str"/>
    </x:row>
    <x:row r="9" ht="36" customHeight="1">
      <x:c r="A9" s="75" t="str">
        <x:v>AGENTS.md</x:v>
      </x:c>
      <x:c r="B9" s="75" t="str">
        <x:v>Documentation</x:v>
      </x:c>
      <x:c r="C9" s="75" t="str">
        <x:v>Documentation</x:v>
      </x:c>
      <x:c r="D9" s="75" t="str">
        <x:v>Не указан</x:v>
      </x:c>
      <x:c r="E9" s="75" t="str">
        <x:v>2026-08-09. Канонический файл инструкций репозитория.</x:v>
      </x:c>
      <x:c r="F9" s="75" t="str"/>
      <x:c r="G9" s="75" t="str"/>
      <x:c r="H9" s="75" t="str">
        <x:v>Да</x:v>
      </x:c>
      <x:c r="I9" s="76" t="n">
        <x:v>24854</x:v>
      </x:c>
      <x:c r="J9" s="77" t="n">
        <x:v>46243.56491929398</x:v>
      </x:c>
      <x:c r="K9" s="75" t="str"/>
    </x:row>
    <x:row r="10" ht="36" customHeight="1">
      <x:c r="A10" s="75" t="str">
        <x:v>CONTRIBUTING.md</x:v>
      </x:c>
      <x:c r="B10" s="75" t="str">
        <x:v>Documentation</x:v>
      </x:c>
      <x:c r="C10" s="75" t="str">
        <x:v>Documentation</x:v>
      </x:c>
      <x:c r="D10" s="75" t="str">
        <x:v>Не указан</x:v>
      </x:c>
      <x:c r="E10" s="75" t="str"/>
      <x:c r="F10" s="75" t="str"/>
      <x:c r="G10" s="75" t="str"/>
      <x:c r="H10" s="75" t="str">
        <x:v>Да</x:v>
      </x:c>
      <x:c r="I10" s="76" t="n">
        <x:v>2326</x:v>
      </x:c>
      <x:c r="J10" s="77" t="n">
        <x:v>46129.92112449074</x:v>
      </x:c>
      <x:c r="K10" s="75" t="str"/>
    </x:row>
    <x:row r="11" ht="36" customHeight="1">
      <x:c r="A11" s="75" t="str">
        <x:v>README.md</x:v>
      </x:c>
      <x:c r="B11" s="75" t="str">
        <x:v>Documentation</x:v>
      </x:c>
      <x:c r="C11" s="75" t="str">
        <x:v>Documentation</x:v>
      </x:c>
      <x:c r="D11" s="75" t="str">
        <x:v>Не указан</x:v>
      </x:c>
      <x:c r="E11" s="75" t="str"/>
      <x:c r="F11" s="75" t="str"/>
      <x:c r="G11" s="75" t="str"/>
      <x:c r="H11" s="75" t="str">
        <x:v>Да</x:v>
      </x:c>
      <x:c r="I11" s="76" t="n">
        <x:v>1976</x:v>
      </x:c>
      <x:c r="J11" s="77" t="n">
        <x:v>46218.676802905095</x:v>
      </x:c>
      <x:c r="K11" s="75" t="str"/>
    </x:row>
    <x:row r="12" ht="36" customHeight="1">
      <x:c r="A12" s="75" t="str">
        <x:v>analysis_options.yaml</x:v>
      </x:c>
      <x:c r="B12" s="75" t="str">
        <x:v>Documentation</x:v>
      </x:c>
      <x:c r="C12" s="75" t="str">
        <x:v>Configuration</x:v>
      </x:c>
      <x:c r="D12" s="75" t="str">
        <x:v>Не указан</x:v>
      </x:c>
      <x:c r="E12" s="75" t="str"/>
      <x:c r="F12" s="75" t="str"/>
      <x:c r="G12" s="75" t="str"/>
      <x:c r="H12" s="75" t="str">
        <x:v>Да</x:v>
      </x:c>
      <x:c r="I12" s="76" t="n">
        <x:v>1448</x:v>
      </x:c>
      <x:c r="J12" s="77" t="n">
        <x:v>46125.46675774306</x:v>
      </x:c>
      <x:c r="K12" s="75" t="str"/>
    </x:row>
    <x:row r="13" ht="36" customHeight="1">
      <x:c r="A13" s="75" t="str">
        <x:v>docs/2ea611ce-4d28-4b51-b71f-093bb33cd01c.pdf</x:v>
      </x:c>
      <x:c r="B13" s="75" t="str">
        <x:v>Documentation</x:v>
      </x:c>
      <x:c r="C13" s="75" t="str">
        <x:v>PDF</x:v>
      </x:c>
      <x:c r="D13" s="75" t="str">
        <x:v>Не указан</x:v>
      </x:c>
      <x:c r="E13" s="75" t="str"/>
      <x:c r="F13" s="75" t="str"/>
      <x:c r="G13" s="75" t="str"/>
      <x:c r="H13" s="75" t="str">
        <x:v>Да</x:v>
      </x:c>
      <x:c r="I13" s="76" t="n">
        <x:v>471604</x:v>
      </x:c>
      <x:c r="J13" s="77" t="n">
        <x:v>46117.779273252316</x:v>
      </x:c>
      <x:c r="K13" s="75" t="str"/>
    </x:row>
    <x:row r="14" ht="36" customHeight="1">
      <x:c r="A14" s="75" t="str">
        <x:v>docs/Green Gradient Application Showcase Presentation.pdf</x:v>
      </x:c>
      <x:c r="B14" s="75" t="str">
        <x:v>Documentation</x:v>
      </x:c>
      <x:c r="C14" s="75" t="str">
        <x:v>PDF</x:v>
      </x:c>
      <x:c r="D14" s="75" t="str">
        <x:v>Не указан</x:v>
      </x:c>
      <x:c r="E14" s="75" t="str"/>
      <x:c r="F14" s="75" t="str"/>
      <x:c r="G14" s="75" t="str"/>
      <x:c r="H14" s="75" t="str">
        <x:v>Да</x:v>
      </x:c>
      <x:c r="I14" s="76" t="n">
        <x:v>16297763</x:v>
      </x:c>
      <x:c r="J14" s="77" t="n">
        <x:v>45981.57268855324</x:v>
      </x:c>
      <x:c r="K14" s="75" t="str"/>
    </x:row>
    <x:row r="15" ht="36" customHeight="1">
      <x:c r="A15" s="75" t="str">
        <x:v>docs/Recharge app (Nikita, Olga, Lera).docx</x:v>
      </x:c>
      <x:c r="B15" s="75" t="str">
        <x:v>Documentation</x:v>
      </x:c>
      <x:c r="C15" s="75" t="str">
        <x:v>Reference DOCX</x:v>
      </x:c>
      <x:c r="D15" s="75" t="str">
        <x:v>Не указан</x:v>
      </x:c>
      <x:c r="E15" s="75" t="str"/>
      <x:c r="F15" s="75" t="str"/>
      <x:c r="G15" s="75" t="str"/>
      <x:c r="H15" s="75" t="str">
        <x:v>Да</x:v>
      </x:c>
      <x:c r="I15" s="76" t="n">
        <x:v>25710</x:v>
      </x:c>
      <x:c r="J15" s="77" t="n">
        <x:v>45981.56988991898</x:v>
      </x:c>
      <x:c r="K15" s="75" t="str"/>
    </x:row>
    <x:row r="16" ht="36" customHeight="1">
      <x:c r="A16" s="75" t="str">
        <x:v>docs/RechargeNew.zip</x:v>
      </x:c>
      <x:c r="B16" s="75" t="str">
        <x:v>Documentation</x:v>
      </x:c>
      <x:c r="C16" s="75" t="str">
        <x:v>ZIP</x:v>
      </x:c>
      <x:c r="D16" s="75" t="str">
        <x:v>Не указан</x:v>
      </x:c>
      <x:c r="E16" s="75" t="str"/>
      <x:c r="F16" s="75" t="str"/>
      <x:c r="G16" s="75" t="str"/>
      <x:c r="H16" s="75" t="str">
        <x:v>Да</x:v>
      </x:c>
      <x:c r="I16" s="76" t="n">
        <x:v>859129</x:v>
      </x:c>
      <x:c r="J16" s="77" t="n">
        <x:v>46113.56612761574</x:v>
      </x:c>
      <x:c r="K16" s="75" t="str"/>
    </x:row>
    <x:row r="17" ht="36" customHeight="1">
      <x:c r="A17" s="75" t="str">
        <x:v>docs/adr/0011-architecture-freeze.md</x:v>
      </x:c>
      <x:c r="B17" s="75" t="str">
        <x:v>Architecture ADR</x:v>
      </x:c>
      <x:c r="C17" s="75" t="str">
        <x:v>ADR</x:v>
      </x:c>
      <x:c r="D17" s="75" t="str">
        <x:v>Accepted</x:v>
      </x:c>
      <x:c r="E17" s="75" t="str"/>
      <x:c r="F17" s="75" t="str">
        <x:v>2026-04-17</x:v>
      </x:c>
      <x:c r="G17" s="75" t="str"/>
      <x:c r="H17" s="75" t="str">
        <x:v>Да</x:v>
      </x:c>
      <x:c r="I17" s="76" t="n">
        <x:v>1193</x:v>
      </x:c>
      <x:c r="J17" s="77" t="n">
        <x:v>46128.97185537037</x:v>
      </x:c>
      <x:c r="K17" s="75" t="str"/>
    </x:row>
    <x:row r="18" ht="36" customHeight="1">
      <x:c r="A18" s="75" t="str">
        <x:v>docs/adr/0012-tech-stack-defaults.md</x:v>
      </x:c>
      <x:c r="B18" s="75" t="str">
        <x:v>Architecture ADR</x:v>
      </x:c>
      <x:c r="C18" s="75" t="str">
        <x:v>ADR</x:v>
      </x:c>
      <x:c r="D18" s="75" t="str">
        <x:v>Accepted</x:v>
      </x:c>
      <x:c r="E18" s="75" t="str"/>
      <x:c r="F18" s="75" t="str">
        <x:v>2026-04-17</x:v>
      </x:c>
      <x:c r="G18" s="75" t="str"/>
      <x:c r="H18" s="75" t="str">
        <x:v>Да</x:v>
      </x:c>
      <x:c r="I18" s="76" t="n">
        <x:v>3042</x:v>
      </x:c>
      <x:c r="J18" s="77" t="n">
        <x:v>46128.991659976855</x:v>
      </x:c>
      <x:c r="K18" s="75" t="str"/>
    </x:row>
    <x:row r="19" ht="36" customHeight="1">
      <x:c r="A19" s="75" t="str">
        <x:v>docs/adr/0013-domain-policy-baseline.md</x:v>
      </x:c>
      <x:c r="B19" s="75" t="str">
        <x:v>Architecture ADR</x:v>
      </x:c>
      <x:c r="C19" s="75" t="str">
        <x:v>ADR</x:v>
      </x:c>
      <x:c r="D19" s="75" t="str">
        <x:v>Accepted</x:v>
      </x:c>
      <x:c r="E19" s="75" t="str"/>
      <x:c r="F19" s="75" t="str">
        <x:v>2026-04-17</x:v>
      </x:c>
      <x:c r="G19" s="75" t="str"/>
      <x:c r="H19" s="75" t="str">
        <x:v>Да</x:v>
      </x:c>
      <x:c r="I19" s="76" t="n">
        <x:v>4664</x:v>
      </x:c>
      <x:c r="J19" s="77" t="n">
        <x:v>46129.05404832176</x:v>
      </x:c>
      <x:c r="K19" s="75" t="str"/>
    </x:row>
    <x:row r="20" ht="36" customHeight="1">
      <x:c r="A20" s="75" t="str">
        <x:v>docs/adr/0014-time-fit-ranking.md</x:v>
      </x:c>
      <x:c r="B20" s="75" t="str">
        <x:v>Architecture ADR</x:v>
      </x:c>
      <x:c r="C20" s="75" t="str">
        <x:v>ADR</x:v>
      </x:c>
      <x:c r="D20" s="75" t="str">
        <x:v>Accepted</x:v>
      </x:c>
      <x:c r="E20" s="75" t="str"/>
      <x:c r="F20" s="75" t="str">
        <x:v>2026-07-17</x:v>
      </x:c>
      <x:c r="G20" s="75" t="str"/>
      <x:c r="H20" s="75" t="str">
        <x:v>Да</x:v>
      </x:c>
      <x:c r="I20" s="76" t="n">
        <x:v>2625</x:v>
      </x:c>
      <x:c r="J20" s="77" t="n">
        <x:v>46220.6101715625</x:v>
      </x:c>
      <x:c r="K20" s="75" t="str"/>
    </x:row>
    <x:row r="21" ht="36" customHeight="1">
      <x:c r="A21" s="75" t="str">
        <x:v>docs/adr/0015-authenticated-viewer-verified-creator-professional-page.md</x:v>
      </x:c>
      <x:c r="B21" s="75" t="str">
        <x:v>Architecture ADR</x:v>
      </x:c>
      <x:c r="C21" s="75" t="str">
        <x:v>ADR</x:v>
      </x:c>
      <x:c r="D21" s="75" t="str">
        <x:v>Accepted</x:v>
      </x:c>
      <x:c r="E21" s="75" t="str"/>
      <x:c r="F21" s="75" t="str">
        <x:v>2026-07-26</x:v>
      </x:c>
      <x:c r="G21" s="75" t="str"/>
      <x:c r="H21" s="75" t="str">
        <x:v>Да</x:v>
      </x:c>
      <x:c r="I21" s="76" t="n">
        <x:v>7200</x:v>
      </x:c>
      <x:c r="J21" s="77" t="n">
        <x:v>46228.90901962963</x:v>
      </x:c>
      <x:c r="K21" s="75" t="str"/>
    </x:row>
    <x:row r="22" ht="36" customHeight="1">
      <x:c r="A22" s="75" t="str">
        <x:v>docs/adr/0016-bounded-identity-workspace-during-stabilization.md</x:v>
      </x:c>
      <x:c r="B22" s="75" t="str">
        <x:v>Architecture ADR</x:v>
      </x:c>
      <x:c r="C22" s="75" t="str">
        <x:v>ADR</x:v>
      </x:c>
      <x:c r="D22" s="75" t="str">
        <x:v>Accepted</x:v>
      </x:c>
      <x:c r="E22" s="75" t="str"/>
      <x:c r="F22" s="75" t="str">
        <x:v>2026-07-31</x:v>
      </x:c>
      <x:c r="G22" s="75" t="str"/>
      <x:c r="H22" s="75" t="str">
        <x:v>Да</x:v>
      </x:c>
      <x:c r="I22" s="76" t="n">
        <x:v>6090</x:v>
      </x:c>
      <x:c r="J22" s="77" t="n">
        <x:v>46233.91873146991</x:v>
      </x:c>
      <x:c r="K22" s="75" t="str"/>
    </x:row>
    <x:row r="23" ht="36" customHeight="1">
      <x:c r="A23" s="75" t="str">
        <x:v>docs/adr/0017-admin-experience-preview-and-user-created-pages.md</x:v>
      </x:c>
      <x:c r="B23" s="75" t="str">
        <x:v>Architecture ADR</x:v>
      </x:c>
      <x:c r="C23" s="75" t="str">
        <x:v>ADR</x:v>
      </x:c>
      <x:c r="D23" s="75" t="str">
        <x:v>Accepted</x:v>
      </x:c>
      <x:c r="E23" s="75" t="str"/>
      <x:c r="F23" s="75" t="str">
        <x:v>2026-07-31</x:v>
      </x:c>
      <x:c r="G23" s="75" t="str"/>
      <x:c r="H23" s="75" t="str">
        <x:v>Да</x:v>
      </x:c>
      <x:c r="I23" s="76" t="n">
        <x:v>6201</x:v>
      </x:c>
      <x:c r="J23" s="77" t="n">
        <x:v>46233.97252427083</x:v>
      </x:c>
      <x:c r="K23" s="75" t="str"/>
    </x:row>
    <x:row r="24" ht="36" customHeight="1">
      <x:c r="A24" s="75" t="str">
        <x:v>docs/adr/0018-provider-neutral-ai-assistance-capability.md</x:v>
      </x:c>
      <x:c r="B24" s="75" t="str">
        <x:v>Architecture ADR</x:v>
      </x:c>
      <x:c r="C24" s="75" t="str">
        <x:v>ADR</x:v>
      </x:c>
      <x:c r="D24" s="75" t="str">
        <x:v>Accepted</x:v>
      </x:c>
      <x:c r="E24" s="75" t="str"/>
      <x:c r="F24" s="75" t="str">
        <x:v>2026-08-03</x:v>
      </x:c>
      <x:c r="G24" s="75" t="str"/>
      <x:c r="H24" s="75" t="str">
        <x:v>Да</x:v>
      </x:c>
      <x:c r="I24" s="76" t="n">
        <x:v>4041</x:v>
      </x:c>
      <x:c r="J24" s="77" t="n">
        <x:v>46237.67318041667</x:v>
      </x:c>
      <x:c r="K24" s="75" t="str"/>
    </x:row>
    <x:row r="25" ht="36" customHeight="1">
      <x:c r="A25" s="75" t="str">
        <x:v>docs/adr/0019-authoritative-internal-booking-ledger.md</x:v>
      </x:c>
      <x:c r="B25" s="75" t="str">
        <x:v>Architecture ADR</x:v>
      </x:c>
      <x:c r="C25" s="75" t="str">
        <x:v>ADR</x:v>
      </x:c>
      <x:c r="D25" s="75" t="str">
        <x:v>Accepted</x:v>
      </x:c>
      <x:c r="E25" s="75" t="str"/>
      <x:c r="F25" s="75" t="str">
        <x:v>2026-08-08</x:v>
      </x:c>
      <x:c r="G25" s="75" t="str"/>
      <x:c r="H25" s="75" t="str">
        <x:v>Да</x:v>
      </x:c>
      <x:c r="I25" s="76" t="n">
        <x:v>12665</x:v>
      </x:c>
      <x:c r="J25" s="77" t="n">
        <x:v>46242.77290268519</x:v>
      </x:c>
      <x:c r="K25" s="75" t="str"/>
    </x:row>
    <x:row r="26" ht="36" customHeight="1">
      <x:c r="A26" s="75" t="str">
        <x:v>docs/analytics/ANALYTICS_TAXONOMY.md</x:v>
      </x:c>
      <x:c r="B26" s="75" t="str">
        <x:v>Documentation</x:v>
      </x:c>
      <x:c r="C26" s="75" t="str">
        <x:v>Documentation</x:v>
      </x:c>
      <x:c r="D26" s="75" t="str">
        <x:v>Не указан</x:v>
      </x:c>
      <x:c r="E26" s="75" t="str"/>
      <x:c r="F26" s="75" t="str"/>
      <x:c r="G26" s="75" t="str"/>
      <x:c r="H26" s="75" t="str">
        <x:v>Да</x:v>
      </x:c>
      <x:c r="I26" s="76" t="n">
        <x:v>3205</x:v>
      </x:c>
      <x:c r="J26" s="77" t="n">
        <x:v>46242.490808310184</x:v>
      </x:c>
      <x:c r="K26" s="75" t="str"/>
    </x:row>
    <x:row r="27" ht="36" customHeight="1">
      <x:c r="A27" s="75" t="str">
        <x:v>docs/analytics/EVENT_CATALOG.md</x:v>
      </x:c>
      <x:c r="B27" s="75" t="str">
        <x:v>Create Hub</x:v>
      </x:c>
      <x:c r="C27" s="75" t="str">
        <x:v>Documentation</x:v>
      </x:c>
      <x:c r="D27" s="75" t="str">
        <x:v>Не указан</x:v>
      </x:c>
      <x:c r="E27" s="75" t="str"/>
      <x:c r="F27" s="75" t="str"/>
      <x:c r="G27" s="75" t="str"/>
      <x:c r="H27" s="75" t="str">
        <x:v>Да</x:v>
      </x:c>
      <x:c r="I27" s="76" t="n">
        <x:v>5661</x:v>
      </x:c>
      <x:c r="J27" s="77" t="n">
        <x:v>46242.49079185185</x:v>
      </x:c>
      <x:c r="K27" s="75" t="str"/>
    </x:row>
    <x:row r="28" ht="36" customHeight="1">
      <x:c r="A28" s="75" t="str">
        <x:v>docs/api/API_CONTRACTS_WORKFLOW.md</x:v>
      </x:c>
      <x:c r="B28" s="75" t="str">
        <x:v>API Contracts</x:v>
      </x:c>
      <x:c r="C28" s="75" t="str">
        <x:v>Documentation</x:v>
      </x:c>
      <x:c r="D28" s="75" t="str">
        <x:v>Не указан</x:v>
      </x:c>
      <x:c r="E28" s="75" t="str">
        <x:v>1.1</x:v>
      </x:c>
      <x:c r="F28" s="75" t="str">
        <x:v>2026-08-08</x:v>
      </x:c>
      <x:c r="G28" s="75" t="str"/>
      <x:c r="H28" s="75" t="str">
        <x:v>Да</x:v>
      </x:c>
      <x:c r="I28" s="76" t="n">
        <x:v>2944</x:v>
      </x:c>
      <x:c r="J28" s="77" t="n">
        <x:v>46242.769696550924</x:v>
      </x:c>
      <x:c r="K28" s="75" t="str"/>
    </x:row>
    <x:row r="29" ht="36" customHeight="1">
      <x:c r="A29" s="75" t="str">
        <x:v>docs/api/CONTRACT_CHANGE_TEMPLATE.md</x:v>
      </x:c>
      <x:c r="B29" s="75" t="str">
        <x:v>API Contracts</x:v>
      </x:c>
      <x:c r="C29" s="75" t="str">
        <x:v>Documentation</x:v>
      </x:c>
      <x:c r="D29" s="75" t="str">
        <x:v>Не указан</x:v>
      </x:c>
      <x:c r="E29" s="75" t="str"/>
      <x:c r="F29" s="75" t="str"/>
      <x:c r="G29" s="75" t="str"/>
      <x:c r="H29" s="75" t="str">
        <x:v>Да</x:v>
      </x:c>
      <x:c r="I29" s="76" t="n">
        <x:v>622</x:v>
      </x:c>
      <x:c r="J29" s="77" t="n">
        <x:v>46128.997603599535</x:v>
      </x:c>
      <x:c r="K29" s="75" t="str"/>
    </x:row>
    <x:row r="30" ht="36" customHeight="1">
      <x:c r="A30" s="75" t="str">
        <x:v>docs/architecture/ARCHITECTURE_BASELINE.md</x:v>
      </x:c>
      <x:c r="B30" s="75" t="str">
        <x:v>Architecture ADR</x:v>
      </x:c>
      <x:c r="C30" s="75" t="str">
        <x:v>Documentation</x:v>
      </x:c>
      <x:c r="D30" s="75" t="str">
        <x:v>Frozen baseline, expanded by Accepted ADR 0019</x:v>
      </x:c>
      <x:c r="E30" s="75" t="str"/>
      <x:c r="F30" s="75" t="str">
        <x:v>2026-08-08</x:v>
      </x:c>
      <x:c r="G30" s="75" t="str"/>
      <x:c r="H30" s="75" t="str">
        <x:v>Да</x:v>
      </x:c>
      <x:c r="I30" s="76" t="n">
        <x:v>5093</x:v>
      </x:c>
      <x:c r="J30" s="77" t="n">
        <x:v>46242.77324628472</x:v>
      </x:c>
      <x:c r="K30" s="75" t="str"/>
    </x:row>
    <x:row r="31" ht="36" customHeight="1">
      <x:c r="A31" s="75" t="str">
        <x:v>docs/architecture/CHANGE_POLICY.md</x:v>
      </x:c>
      <x:c r="B31" s="75" t="str">
        <x:v>Architecture ADR</x:v>
      </x:c>
      <x:c r="C31" s="75" t="str">
        <x:v>Documentation</x:v>
      </x:c>
      <x:c r="D31" s="75" t="str">
        <x:v>Не указан</x:v>
      </x:c>
      <x:c r="E31" s="75" t="str"/>
      <x:c r="F31" s="75" t="str"/>
      <x:c r="G31" s="75" t="str"/>
      <x:c r="H31" s="75" t="str">
        <x:v>Да</x:v>
      </x:c>
      <x:c r="I31" s="76" t="n">
        <x:v>1295</x:v>
      </x:c>
      <x:c r="J31" s="77" t="n">
        <x:v>46128.97194636574</x:v>
      </x:c>
      <x:c r="K31" s="75" t="str"/>
    </x:row>
    <x:row r="32" ht="36" customHeight="1">
      <x:c r="A32" s="75" t="str">
        <x:v>docs/architecture/CI_GATES_POLICY.md</x:v>
      </x:c>
      <x:c r="B32" s="75" t="str">
        <x:v>Testing CI</x:v>
      </x:c>
      <x:c r="C32" s="75" t="str">
        <x:v>Documentation</x:v>
      </x:c>
      <x:c r="D32" s="75" t="str">
        <x:v>Не указан</x:v>
      </x:c>
      <x:c r="E32" s="75" t="str"/>
      <x:c r="F32" s="75" t="str"/>
      <x:c r="G32" s="75" t="str"/>
      <x:c r="H32" s="75" t="str">
        <x:v>Да</x:v>
      </x:c>
      <x:c r="I32" s="76" t="n">
        <x:v>1197</x:v>
      </x:c>
      <x:c r="J32" s="77" t="n">
        <x:v>46132.008924236114</x:v>
      </x:c>
      <x:c r="K32" s="75" t="str"/>
    </x:row>
    <x:row r="33" ht="36" customHeight="1">
      <x:c r="A33" s="75" t="str">
        <x:v>docs/architecture/DS_COMPONENT_INTAKE.md</x:v>
      </x:c>
      <x:c r="B33" s="75" t="str">
        <x:v>Architecture ADR</x:v>
      </x:c>
      <x:c r="C33" s="75" t="str">
        <x:v>Documentation</x:v>
      </x:c>
      <x:c r="D33" s="75" t="str">
        <x:v>Не указан</x:v>
      </x:c>
      <x:c r="E33" s="75" t="str"/>
      <x:c r="F33" s="75" t="str"/>
      <x:c r="G33" s="75" t="str"/>
      <x:c r="H33" s="75" t="str">
        <x:v>Да</x:v>
      </x:c>
      <x:c r="I33" s="76" t="n">
        <x:v>919</x:v>
      </x:c>
      <x:c r="J33" s="77" t="n">
        <x:v>46129.000554895836</x:v>
      </x:c>
      <x:c r="K33" s="75" t="str"/>
    </x:row>
    <x:row r="34" ht="36" customHeight="1">
      <x:c r="A34" s="75" t="str">
        <x:v>docs/architecture/ENV_FLAVORS_SECRETS.md</x:v>
      </x:c>
      <x:c r="B34" s="75" t="str">
        <x:v>Security Privacy</x:v>
      </x:c>
      <x:c r="C34" s="75" t="str">
        <x:v>Documentation</x:v>
      </x:c>
      <x:c r="D34" s="75" t="str">
        <x:v>Не указан</x:v>
      </x:c>
      <x:c r="E34" s="75" t="str"/>
      <x:c r="F34" s="75" t="str"/>
      <x:c r="G34" s="75" t="str"/>
      <x:c r="H34" s="75" t="str">
        <x:v>Да</x:v>
      </x:c>
      <x:c r="I34" s="76" t="n">
        <x:v>2221</x:v>
      </x:c>
      <x:c r="J34" s="77" t="n">
        <x:v>46128.99724386574</x:v>
      </x:c>
      <x:c r="K34" s="75" t="str"/>
    </x:row>
    <x:row r="35" ht="36" customHeight="1">
      <x:c r="A35" s="75" t="str">
        <x:v>docs/architecture/FIREBASE_ARCHITECTURE.md</x:v>
      </x:c>
      <x:c r="B35" s="75" t="str">
        <x:v>Backend</x:v>
      </x:c>
      <x:c r="C35" s="75" t="str">
        <x:v>Documentation</x:v>
      </x:c>
      <x:c r="D35" s="75" t="str">
        <x:v>Не указан</x:v>
      </x:c>
      <x:c r="E35" s="75" t="str"/>
      <x:c r="F35" s="75" t="str"/>
      <x:c r="G35" s="75" t="str"/>
      <x:c r="H35" s="75" t="str">
        <x:v>Да</x:v>
      </x:c>
      <x:c r="I35" s="76" t="n">
        <x:v>49753</x:v>
      </x:c>
      <x:c r="J35" s="77" t="n">
        <x:v>46233.37146472222</x:v>
      </x:c>
      <x:c r="K35" s="75" t="str"/>
    </x:row>
    <x:row r="36" ht="36" customHeight="1">
      <x:c r="A36" s="75" t="str">
        <x:v>docs/architecture/IMPORT_BOUNDARIES.md</x:v>
      </x:c>
      <x:c r="B36" s="75" t="str">
        <x:v>Architecture ADR</x:v>
      </x:c>
      <x:c r="C36" s="75" t="str">
        <x:v>Documentation</x:v>
      </x:c>
      <x:c r="D36" s="75" t="str">
        <x:v>Не указан</x:v>
      </x:c>
      <x:c r="E36" s="75" t="str"/>
      <x:c r="F36" s="75" t="str"/>
      <x:c r="G36" s="75" t="str"/>
      <x:c r="H36" s="75" t="str">
        <x:v>Да</x:v>
      </x:c>
      <x:c r="I36" s="76" t="n">
        <x:v>2006</x:v>
      </x:c>
      <x:c r="J36" s="77" t="n">
        <x:v>46132.00862388889</x:v>
      </x:c>
      <x:c r="K36" s="75" t="str"/>
    </x:row>
    <x:row r="37" ht="36" customHeight="1">
      <x:c r="A37" s="75" t="str">
        <x:v>docs/architecture/LAUNCH_STATUS.md</x:v>
      </x:c>
      <x:c r="B37" s="75" t="str">
        <x:v>Market Rollout</x:v>
      </x:c>
      <x:c r="C37" s="75" t="str">
        <x:v>Documentation</x:v>
      </x:c>
      <x:c r="D37" s="75" t="str">
        <x:v>Не указан</x:v>
      </x:c>
      <x:c r="E37" s="75" t="str"/>
      <x:c r="F37" s="75" t="str"/>
      <x:c r="G37" s="75" t="str"/>
      <x:c r="H37" s="75" t="str">
        <x:v>Да</x:v>
      </x:c>
      <x:c r="I37" s="76" t="n">
        <x:v>157890</x:v>
      </x:c>
      <x:c r="J37" s="77" t="n">
        <x:v>46245.532580046296</x:v>
      </x:c>
      <x:c r="K37" s="75" t="str"/>
    </x:row>
    <x:row r="38" ht="36" customHeight="1">
      <x:c r="A38" s="75" t="str">
        <x:v>docs/architecture/PLATFORM_FOUNDATION_SPEC.md</x:v>
      </x:c>
      <x:c r="B38" s="75" t="str">
        <x:v>Architecture ADR</x:v>
      </x:c>
      <x:c r="C38" s="75" t="str">
        <x:v>Documentation</x:v>
      </x:c>
      <x:c r="D38" s="75" t="str">
        <x:v>Review — product intent approved, architecture gates pending.</x:v>
      </x:c>
      <x:c r="E38" s="75" t="str">
        <x:v>v2.1 (2026-07-20).</x:v>
      </x:c>
      <x:c r="F38" s="75" t="str"/>
      <x:c r="G38" s="75" t="str"/>
      <x:c r="H38" s="75" t="str">
        <x:v>Да</x:v>
      </x:c>
      <x:c r="I38" s="76" t="n">
        <x:v>39685</x:v>
      </x:c>
      <x:c r="J38" s="77" t="n">
        <x:v>46223.686138020836</x:v>
      </x:c>
      <x:c r="K38" s="75" t="str"/>
    </x:row>
    <x:row r="39" ht="36" customHeight="1">
      <x:c r="A39" s="75" t="str">
        <x:v>docs/architecture/RECHARGE_ARCHITECTURE.md</x:v>
      </x:c>
      <x:c r="B39" s="75" t="str">
        <x:v>Architecture ADR</x:v>
      </x:c>
      <x:c r="C39" s="75" t="str">
        <x:v>Documentation</x:v>
      </x:c>
      <x:c r="D39" s="75" t="str">
        <x:v>актуальный архитектурный обзор</x:v>
      </x:c>
      <x:c r="E39" s="75" t="str">
        <x:v>v1.2 (2026-07-31)</x:v>
      </x:c>
      <x:c r="F39" s="75" t="str"/>
      <x:c r="G39" s="75" t="str"/>
      <x:c r="H39" s="75" t="str">
        <x:v>Да</x:v>
      </x:c>
      <x:c r="I39" s="76" t="n">
        <x:v>40791</x:v>
      </x:c>
      <x:c r="J39" s="77" t="n">
        <x:v>46234.37590047454</x:v>
      </x:c>
      <x:c r="K39" s="75" t="str"/>
    </x:row>
    <x:row r="40" ht="36" customHeight="1">
      <x:c r="A40" s="75" t="str">
        <x:v>docs/architecture/REPO_GOVERNANCE.md</x:v>
      </x:c>
      <x:c r="B40" s="75" t="str">
        <x:v>Architecture ADR</x:v>
      </x:c>
      <x:c r="C40" s="75" t="str">
        <x:v>Documentation</x:v>
      </x:c>
      <x:c r="D40" s="75" t="str">
        <x:v>Не указан</x:v>
      </x:c>
      <x:c r="E40" s="75" t="str"/>
      <x:c r="F40" s="75" t="str"/>
      <x:c r="G40" s="75" t="str"/>
      <x:c r="H40" s="75" t="str">
        <x:v>Да</x:v>
      </x:c>
      <x:c r="I40" s="76" t="n">
        <x:v>886</x:v>
      </x:c>
      <x:c r="J40" s="77" t="n">
        <x:v>46128.99376605324</x:v>
      </x:c>
      <x:c r="K40" s="75" t="str"/>
    </x:row>
    <x:row r="41" ht="36" customHeight="1">
      <x:c r="A41" s="75" t="str">
        <x:v>docs/architecture/TESTING_STRATEGY.md</x:v>
      </x:c>
      <x:c r="B41" s="75" t="str">
        <x:v>Testing CI</x:v>
      </x:c>
      <x:c r="C41" s="75" t="str">
        <x:v>Documentation</x:v>
      </x:c>
      <x:c r="D41" s="75" t="str">
        <x:v>Не указан</x:v>
      </x:c>
      <x:c r="E41" s="75" t="str"/>
      <x:c r="F41" s="75" t="str"/>
      <x:c r="G41" s="75" t="str"/>
      <x:c r="H41" s="75" t="str">
        <x:v>Да</x:v>
      </x:c>
      <x:c r="I41" s="76" t="n">
        <x:v>2600</x:v>
      </x:c>
      <x:c r="J41" s="77" t="n">
        <x:v>46128.99849737268</x:v>
      </x:c>
      <x:c r="K41" s="75" t="str"/>
    </x:row>
    <x:row r="42" ht="36" customHeight="1">
      <x:c r="A42" s="75" t="str">
        <x:v>docs/architecture/UI_BASELINE_DESIGN_SYSTEM.md</x:v>
      </x:c>
      <x:c r="B42" s="75" t="str">
        <x:v>Architecture ADR</x:v>
      </x:c>
      <x:c r="C42" s="75" t="str">
        <x:v>Documentation</x:v>
      </x:c>
      <x:c r="D42" s="75" t="str">
        <x:v>Не указан</x:v>
      </x:c>
      <x:c r="E42" s="75" t="str"/>
      <x:c r="F42" s="75" t="str"/>
      <x:c r="G42" s="75" t="str"/>
      <x:c r="H42" s="75" t="str">
        <x:v>Да</x:v>
      </x:c>
      <x:c r="I42" s="76" t="n">
        <x:v>2546</x:v>
      </x:c>
      <x:c r="J42" s="77" t="n">
        <x:v>46129.00046594907</x:v>
      </x:c>
      <x:c r="K42" s="75" t="str"/>
    </x:row>
    <x:row r="43" ht="36" customHeight="1">
      <x:c r="A43" s="75" t="str">
        <x:v>docs/c4c91435-3d41-430e-a7b8-2d22509ac6b4.jpeg</x:v>
      </x:c>
      <x:c r="B43" s="75" t="str">
        <x:v>Documentation</x:v>
      </x:c>
      <x:c r="C43" s="75" t="str">
        <x:v>JPEG</x:v>
      </x:c>
      <x:c r="D43" s="75" t="str">
        <x:v>Не указан</x:v>
      </x:c>
      <x:c r="E43" s="75" t="str"/>
      <x:c r="F43" s="75" t="str"/>
      <x:c r="G43" s="75" t="str"/>
      <x:c r="H43" s="75" t="str">
        <x:v>Да</x:v>
      </x:c>
      <x:c r="I43" s="76" t="n">
        <x:v>8932</x:v>
      </x:c>
      <x:c r="J43" s="77" t="n">
        <x:v>45992.49965064815</x:v>
      </x:c>
      <x:c r="K43" s="75" t="str"/>
    </x:row>
    <x:row r="44" ht="36" customHeight="1">
      <x:c r="A44" s="75" t="str">
        <x:v>docs/photo_5917744015493679782_x.jpg</x:v>
      </x:c>
      <x:c r="B44" s="75" t="str">
        <x:v>Documentation</x:v>
      </x:c>
      <x:c r="C44" s="75" t="str">
        <x:v>JPG</x:v>
      </x:c>
      <x:c r="D44" s="75" t="str">
        <x:v>Не указан</x:v>
      </x:c>
      <x:c r="E44" s="75" t="str"/>
      <x:c r="F44" s="75" t="str"/>
      <x:c r="G44" s="75" t="str"/>
      <x:c r="H44" s="75" t="str">
        <x:v>Да</x:v>
      </x:c>
      <x:c r="I44" s="76" t="n">
        <x:v>14238</x:v>
      </x:c>
      <x:c r="J44" s="77" t="n">
        <x:v>45992.50031607639</x:v>
      </x:c>
      <x:c r="K44" s="75" t="str"/>
    </x:row>
    <x:row r="45" ht="36" customHeight="1">
      <x:c r="A45" s="75" t="str">
        <x:v>docs/png/1.png</x:v>
      </x:c>
      <x:c r="B45" s="75" t="str">
        <x:v>Documentation</x:v>
      </x:c>
      <x:c r="C45" s="75" t="str">
        <x:v>PNG</x:v>
      </x:c>
      <x:c r="D45" s="75" t="str">
        <x:v>Не указан</x:v>
      </x:c>
      <x:c r="E45" s="75" t="str"/>
      <x:c r="F45" s="75" t="str"/>
      <x:c r="G45" s="75" t="str"/>
      <x:c r="H45" s="75" t="str">
        <x:v>Да</x:v>
      </x:c>
      <x:c r="I45" s="76" t="n">
        <x:v>74392</x:v>
      </x:c>
      <x:c r="J45" s="77" t="n">
        <x:v>45992.50436912037</x:v>
      </x:c>
      <x:c r="K45" s="75" t="str"/>
    </x:row>
    <x:row r="46" ht="36" customHeight="1">
      <x:c r="A46" s="75" t="str">
        <x:v>docs/png/2.png</x:v>
      </x:c>
      <x:c r="B46" s="75" t="str">
        <x:v>Documentation</x:v>
      </x:c>
      <x:c r="C46" s="75" t="str">
        <x:v>PNG</x:v>
      </x:c>
      <x:c r="D46" s="75" t="str">
        <x:v>Не указан</x:v>
      </x:c>
      <x:c r="E46" s="75" t="str"/>
      <x:c r="F46" s="75" t="str"/>
      <x:c r="G46" s="75" t="str"/>
      <x:c r="H46" s="75" t="str">
        <x:v>Да</x:v>
      </x:c>
      <x:c r="I46" s="76" t="n">
        <x:v>42440</x:v>
      </x:c>
      <x:c r="J46" s="77" t="n">
        <x:v>45992.50436895833</x:v>
      </x:c>
      <x:c r="K46" s="75" t="str"/>
    </x:row>
    <x:row r="47" ht="36" customHeight="1">
      <x:c r="A47" s="75" t="str">
        <x:v>docs/png/recharge.png</x:v>
      </x:c>
      <x:c r="B47" s="75" t="str">
        <x:v>Documentation</x:v>
      </x:c>
      <x:c r="C47" s="75" t="str">
        <x:v>PNG</x:v>
      </x:c>
      <x:c r="D47" s="75" t="str">
        <x:v>Не указан</x:v>
      </x:c>
      <x:c r="E47" s="75" t="str"/>
      <x:c r="F47" s="75" t="str"/>
      <x:c r="G47" s="75" t="str"/>
      <x:c r="H47" s="75" t="str">
        <x:v>Да</x:v>
      </x:c>
      <x:c r="I47" s="76" t="n">
        <x:v>132887</x:v>
      </x:c>
      <x:c r="J47" s="77" t="n">
        <x:v>45992.49990209491</x:v>
      </x:c>
      <x:c r="K47" s="75" t="str"/>
    </x:row>
    <x:row r="48" ht="36" customHeight="1">
      <x:c r="A48" s="75" t="str">
        <x:v>docs/pngtree-bright-red-location-pin-icon-on-a-black-background-png-image_17685791.webp</x:v>
      </x:c>
      <x:c r="B48" s="75" t="str">
        <x:v>Documentation</x:v>
      </x:c>
      <x:c r="C48" s="75" t="str">
        <x:v>WEBP</x:v>
      </x:c>
      <x:c r="D48" s="75" t="str">
        <x:v>Не указан</x:v>
      </x:c>
      <x:c r="E48" s="75" t="str"/>
      <x:c r="F48" s="75" t="str"/>
      <x:c r="G48" s="75" t="str"/>
      <x:c r="H48" s="75" t="str">
        <x:v>Да</x:v>
      </x:c>
      <x:c r="I48" s="76" t="n">
        <x:v>9684</x:v>
      </x:c>
      <x:c r="J48" s="77" t="n">
        <x:v>46079.62401384259</x:v>
      </x:c>
      <x:c r="K48" s="75" t="str"/>
    </x:row>
    <x:row r="49" ht="36" customHeight="1">
      <x:c r="A49" s="75" t="str">
        <x:v>docs/product/AI_PLATFORM_LOCAL_SLICE_SPEC.md</x:v>
      </x:c>
      <x:c r="B49" s="75" t="str">
        <x:v>AI</x:v>
      </x:c>
      <x:c r="C49" s="75" t="str">
        <x:v>Documentation</x:v>
      </x:c>
      <x:c r="D49" s="75" t="str">
        <x:v>Done.</x:v>
      </x:c>
      <x:c r="E49" s="75" t="str">
        <x:v>v1.0 (2026-08-03).</x:v>
      </x:c>
      <x:c r="F49" s="75" t="str"/>
      <x:c r="G49" s="75" t="str">
        <x:v>local/mock-only, zero metered calls.</x:v>
      </x:c>
      <x:c r="H49" s="75" t="str">
        <x:v>Да</x:v>
      </x:c>
      <x:c r="I49" s="76" t="n">
        <x:v>5524</x:v>
      </x:c>
      <x:c r="J49" s="77" t="n">
        <x:v>46237.68894175926</x:v>
      </x:c>
      <x:c r="K49" s="75" t="str"/>
    </x:row>
    <x:row r="50" ht="36" customHeight="1">
      <x:c r="A50" s="75" t="str">
        <x:v>docs/product/AI_PRODUCT_STRATEGY.md</x:v>
      </x:c>
      <x:c r="B50" s="75" t="str">
        <x:v>AI</x:v>
      </x:c>
      <x:c r="C50" s="75" t="str">
        <x:v>Documentation</x:v>
      </x:c>
      <x:c r="D50" s="75" t="str">
        <x:v>Approved product direction; local foundation implemented,</x:v>
      </x:c>
      <x:c r="E50" s="75" t="str">
        <x:v>v1.1 (2026-08-03).</x:v>
      </x:c>
      <x:c r="F50" s="75" t="str"/>
      <x:c r="G50" s="75" t="str"/>
      <x:c r="H50" s="75" t="str">
        <x:v>Да</x:v>
      </x:c>
      <x:c r="I50" s="76" t="n">
        <x:v>12285</x:v>
      </x:c>
      <x:c r="J50" s="77" t="n">
        <x:v>46237.688935011574</x:v>
      </x:c>
      <x:c r="K50" s="75" t="str"/>
    </x:row>
    <x:row r="51" ht="36" customHeight="1">
      <x:c r="A51" s="75" t="str">
        <x:v>docs/product/BACKEND_API_CONTRACT_STANDARD.md</x:v>
      </x:c>
      <x:c r="B51" s="75" t="str">
        <x:v>Backend</x:v>
      </x:c>
      <x:c r="C51" s="75" t="str">
        <x:v>Documentation</x:v>
      </x:c>
      <x:c r="D51" s="75" t="str">
        <x:v>Draft — review required</x:v>
      </x:c>
      <x:c r="E51" s="75" t="str">
        <x:v>0.2</x:v>
      </x:c>
      <x:c r="F51" s="75" t="str">
        <x:v>2026-08-16</x:v>
      </x:c>
      <x:c r="G51" s="75" t="str">
        <x:v>Absent</x:v>
      </x:c>
      <x:c r="H51" s="75" t="str">
        <x:v>Да</x:v>
      </x:c>
      <x:c r="I51" s="76" t="n">
        <x:v>65145</x:v>
      </x:c>
      <x:c r="J51" s="77" t="n">
        <x:v>46250.41162222222</x:v>
      </x:c>
      <x:c r="K51" s="75" t="str"/>
    </x:row>
    <x:row r="52" ht="36" customHeight="1">
      <x:c r="A52" s="75" t="str">
        <x:v>docs/product/BACKEND_SECURITY_PRIVACY_COVERAGE_MATRIX.md</x:v>
      </x:c>
      <x:c r="B52" s="75" t="str">
        <x:v>Security Privacy</x:v>
      </x:c>
      <x:c r="C52" s="75" t="str">
        <x:v>Documentation</x:v>
      </x:c>
      <x:c r="D52" s="75" t="str">
        <x:v>Draft — preparatory artifact, не Review и не Approval</x:v>
      </x:c>
      <x:c r="E52" s="75" t="str">
        <x:v>0.2</x:v>
      </x:c>
      <x:c r="F52" s="75" t="str">
        <x:v>2026-08-16</x:v>
      </x:c>
      <x:c r="G52" s="75" t="str">
        <x:v>Absent</x:v>
      </x:c>
      <x:c r="H52" s="75" t="str">
        <x:v>Да</x:v>
      </x:c>
      <x:c r="I52" s="76" t="n">
        <x:v>26767</x:v>
      </x:c>
      <x:c r="J52" s="77" t="n">
        <x:v>46250.42590681713</x:v>
      </x:c>
      <x:c r="K52" s="75" t="str"/>
    </x:row>
    <x:row r="53" ht="36" customHeight="1">
      <x:c r="A53" s="75" t="str">
        <x:v>docs/product/BACKEND_SECURITY_PRIVACY_COVERAGE_MATRIX_OPEN_QUESTIONS.md</x:v>
      </x:c>
      <x:c r="B53" s="75" t="str">
        <x:v>Security Privacy</x:v>
      </x:c>
      <x:c r="C53" s="75" t="str">
        <x:v>Documentation</x:v>
      </x:c>
      <x:c r="D53" s="75" t="str">
        <x:v>Отвечено владельцем 2026-08-16; учтено в coverage matrix v0.2</x:v>
      </x:c>
      <x:c r="E53" s="75" t="str"/>
      <x:c r="F53" s="75" t="str"/>
      <x:c r="G53" s="75" t="str"/>
      <x:c r="H53" s="75" t="str">
        <x:v>Да</x:v>
      </x:c>
      <x:c r="I53" s="76" t="n">
        <x:v>8703</x:v>
      </x:c>
      <x:c r="J53" s="77" t="n">
        <x:v>46250.41427771991</x:v>
      </x:c>
      <x:c r="K53" s="75" t="str"/>
    </x:row>
    <x:row r="54" ht="36" customHeight="1">
      <x:c r="A54" s="75" t="str">
        <x:v>docs/product/BACKEND_SECURITY_PRIVACY_SPEC.md</x:v>
      </x:c>
      <x:c r="B54" s="75" t="str">
        <x:v>Security Privacy</x:v>
      </x:c>
      <x:c r="C54" s="75" t="str">
        <x:v>Documentation</x:v>
      </x:c>
      <x:c r="D54" s="75" t="str">
        <x:v>Draft — architecture review required</x:v>
      </x:c>
      <x:c r="E54" s="75" t="str">
        <x:v>0.2</x:v>
      </x:c>
      <x:c r="F54" s="75" t="str">
        <x:v>2026-08-16</x:v>
      </x:c>
      <x:c r="G54" s="75" t="str">
        <x:v>Absent</x:v>
      </x:c>
      <x:c r="H54" s="75" t="str">
        <x:v>Да</x:v>
      </x:c>
      <x:c r="I54" s="76" t="n">
        <x:v>69931</x:v>
      </x:c>
      <x:c r="J54" s="77" t="n">
        <x:v>46250.47191548611</x:v>
      </x:c>
      <x:c r="K54" s="75" t="str"/>
    </x:row>
    <x:row r="55" ht="36" customHeight="1">
      <x:c r="A55" s="75" t="str">
        <x:v>docs/product/CATEGORY_CATALOG.md</x:v>
      </x:c>
      <x:c r="B55" s="75" t="str">
        <x:v>Create Hub</x:v>
      </x:c>
      <x:c r="C55" s="75" t="str">
        <x:v>Documentation</x:v>
      </x:c>
      <x:c r="D55" s="75" t="str">
        <x:v>Не указан</x:v>
      </x:c>
      <x:c r="E55" s="75" t="str"/>
      <x:c r="F55" s="75" t="str"/>
      <x:c r="G55" s="75" t="str"/>
      <x:c r="H55" s="75" t="str">
        <x:v>Да</x:v>
      </x:c>
      <x:c r="I55" s="76" t="n">
        <x:v>336</x:v>
      </x:c>
      <x:c r="J55" s="77" t="n">
        <x:v>46234.060798541665</x:v>
      </x:c>
      <x:c r="K55" s="75" t="str"/>
    </x:row>
    <x:row r="56" ht="36" customHeight="1">
      <x:c r="A56" s="75" t="str">
        <x:v>docs/product/CATEGORY_SYSTEM.md</x:v>
      </x:c>
      <x:c r="B56" s="75" t="str">
        <x:v>Create Hub</x:v>
      </x:c>
      <x:c r="C56" s="75" t="str">
        <x:v>Documentation</x:v>
      </x:c>
      <x:c r="D56" s="75" t="str">
        <x:v>Accepted (канонический).</x:v>
      </x:c>
      <x:c r="E56" s="75" t="str">
        <x:v>v1.4.3 (2026-07-31). Статус: Accepted (канонический).</x:v>
      </x:c>
      <x:c r="F56" s="75" t="str"/>
      <x:c r="G56" s="75" t="str"/>
      <x:c r="H56" s="75" t="str">
        <x:v>Да</x:v>
      </x:c>
      <x:c r="I56" s="76" t="n">
        <x:v>44891</x:v>
      </x:c>
      <x:c r="J56" s="77" t="n">
        <x:v>46234.06114</x:v>
      </x:c>
      <x:c r="K56" s="75" t="str"/>
    </x:row>
    <x:row r="57" ht="36" customHeight="1">
      <x:c r="A57" s="75" t="str">
        <x:v>docs/product/CLASS_WORKSHOP_EXPERIENCE_CREATE_SPEC.md</x:v>
      </x:c>
      <x:c r="B57" s="75" t="str">
        <x:v>Create Hub</x:v>
      </x:c>
      <x:c r="C57" s="75" t="str">
        <x:v>Documentation</x:v>
      </x:c>
      <x:c r="D57" s="75" t="str">
        <x:v>Full-product specification — Ready for approval</x:v>
      </x:c>
      <x:c r="E57" s="75" t="str">
        <x:v>1.1</x:v>
      </x:c>
      <x:c r="F57" s="75" t="str">
        <x:v>2026-07-18</x:v>
      </x:c>
      <x:c r="G57" s="75" t="str"/>
      <x:c r="H57" s="75" t="str">
        <x:v>Да</x:v>
      </x:c>
      <x:c r="I57" s="76" t="n">
        <x:v>119886</x:v>
      </x:c>
      <x:c r="J57" s="77" t="n">
        <x:v>46221.511826215276</x:v>
      </x:c>
      <x:c r="K57" s="75" t="str"/>
    </x:row>
    <x:row r="58" ht="36" customHeight="1">
      <x:c r="A58" s="75" t="str">
        <x:v>docs/product/CREATE_TEMPLATES_SLICE_SPEC.md</x:v>
      </x:c>
      <x:c r="B58" s="75" t="str">
        <x:v>Create Hub</x:v>
      </x:c>
      <x:c r="C58" s="75" t="str">
        <x:v>Documentation</x:v>
      </x:c>
      <x:c r="D58" s="75" t="str">
        <x:v>Approved</x:v>
      </x:c>
      <x:c r="E58" s="75" t="str">
        <x:v>1.0</x:v>
      </x:c>
      <x:c r="F58" s="75" t="str">
        <x:v>2026-07-31</x:v>
      </x:c>
      <x:c r="G58" s="75" t="str"/>
      <x:c r="H58" s="75" t="str">
        <x:v>Да</x:v>
      </x:c>
      <x:c r="I58" s="76" t="n">
        <x:v>7061</x:v>
      </x:c>
      <x:c r="J58" s="77" t="n">
        <x:v>46233.9656253588</x:v>
      </x:c>
      <x:c r="K58" s="75" t="str"/>
    </x:row>
    <x:row r="59" ht="36" customHeight="1">
      <x:c r="A59" s="75" t="str">
        <x:v>docs/product/CREATOR_PROFILE_FUNCTIONAL_SPEC.md</x:v>
      </x:c>
      <x:c r="B59" s="75" t="str">
        <x:v>Identity Profiles</x:v>
      </x:c>
      <x:c r="C59" s="75" t="str">
        <x:v>Documentation</x:v>
      </x:c>
      <x:c r="D59" s="75" t="str">
        <x:v>Draft for product and architecture review</x:v>
      </x:c>
      <x:c r="E59" s="75" t="str">
        <x:v>1.9 (supersedes v1.8 — adopts Professional Page v2.28's</x:v>
      </x:c>
      <x:c r="F59" s="75" t="str">
        <x:v>2026-08-12</x:v>
      </x:c>
      <x:c r="G59" s="75" t="str"/>
      <x:c r="H59" s="75" t="str">
        <x:v>Да</x:v>
      </x:c>
      <x:c r="I59" s="76" t="n">
        <x:v>98298</x:v>
      </x:c>
      <x:c r="J59" s="77" t="n">
        <x:v>46250.41346621528</x:v>
      </x:c>
      <x:c r="K59" s="75" t="str"/>
    </x:row>
    <x:row r="60" ht="36" customHeight="1">
      <x:c r="A60" s="75" t="str">
        <x:v>docs/product/EVENT_BOOKING_BACKEND_FIREBASE_FULL_SPEC.md</x:v>
      </x:c>
      <x:c r="B60" s="75" t="str">
        <x:v>Backend</x:v>
      </x:c>
      <x:c r="C60" s="75" t="str">
        <x:v>Documentation</x:v>
      </x:c>
      <x:c r="D60" s="75" t="str">
        <x:v>Review — documentation only; implementation and deployment absent</x:v>
      </x:c>
      <x:c r="E60" s="75" t="str">
        <x:v>1.0</x:v>
      </x:c>
      <x:c r="F60" s="75" t="str">
        <x:v>2026-08-09</x:v>
      </x:c>
      <x:c r="G60" s="75" t="str">
        <x:v>none</x:v>
      </x:c>
      <x:c r="H60" s="75" t="str">
        <x:v>Да</x:v>
      </x:c>
      <x:c r="I60" s="76" t="n">
        <x:v>51508</x:v>
      </x:c>
      <x:c r="J60" s="77" t="n">
        <x:v>46250.41162224537</x:v>
      </x:c>
      <x:c r="K60" s="75" t="str"/>
    </x:row>
    <x:row r="61" ht="36" customHeight="1">
      <x:c r="A61" s="75" t="str">
        <x:v>docs/product/EVENT_CLASSIFICATION_COVERAGE_MATRIX.md</x:v>
      </x:c>
      <x:c r="B61" s="75" t="str">
        <x:v>Create Hub</x:v>
      </x:c>
      <x:c r="C61" s="75" t="str">
        <x:v>Documentation</x:v>
      </x:c>
      <x:c r="D61" s="75" t="str">
        <x:v>ECL-00–ECL-03B Done; ECL-03C exact plan Review; runtime absent</x:v>
      </x:c>
      <x:c r="E61" s="75" t="str"/>
      <x:c r="F61" s="75" t="str"/>
      <x:c r="G61" s="75" t="str"/>
      <x:c r="H61" s="75" t="str">
        <x:v>Да</x:v>
      </x:c>
      <x:c r="I61" s="76" t="n">
        <x:v>16065</x:v>
      </x:c>
      <x:c r="J61" s="77" t="n">
        <x:v>46243.56490377315</x:v>
      </x:c>
      <x:c r="K61" s="75" t="str"/>
    </x:row>
    <x:row r="62" ht="36" customHeight="1">
      <x:c r="A62" s="75" t="str">
        <x:v>docs/product/EVENT_CLASSIFICATION_ECL_00_RECONCILIATION_SPEC.md</x:v>
      </x:c>
      <x:c r="B62" s="75" t="str">
        <x:v>Create Hub</x:v>
      </x:c>
      <x:c r="C62" s="75" t="str">
        <x:v>Documentation</x:v>
      </x:c>
      <x:c r="D62" s="75" t="str">
        <x:v>Done — docs alignment и repository gate завершены</x:v>
      </x:c>
      <x:c r="E62" s="75" t="str">
        <x:v>1.2</x:v>
      </x:c>
      <x:c r="F62" s="75" t="str">
        <x:v>2026-08-05</x:v>
      </x:c>
      <x:c r="G62" s="75" t="str"/>
      <x:c r="H62" s="75" t="str">
        <x:v>Да</x:v>
      </x:c>
      <x:c r="I62" s="76" t="n">
        <x:v>24376</x:v>
      </x:c>
      <x:c r="J62" s="77" t="n">
        <x:v>46238.91327189815</x:v>
      </x:c>
      <x:c r="K62" s="75" t="str"/>
    </x:row>
    <x:row r="63" ht="36" customHeight="1">
      <x:c r="A63" s="75" t="str">
        <x:v>docs/product/EVENT_CLASSIFICATION_ECL_01_SLICE_SPEC.md</x:v>
      </x:c>
      <x:c r="B63" s="75" t="str">
        <x:v>Create Hub</x:v>
      </x:c>
      <x:c r="C63" s="75" t="str">
        <x:v>Documentation</x:v>
      </x:c>
      <x:c r="D63" s="75" t="str">
        <x:v>Approved and Done</x:v>
      </x:c>
      <x:c r="E63" s="75" t="str">
        <x:v>1.1</x:v>
      </x:c>
      <x:c r="F63" s="75" t="str">
        <x:v>2026-08-08</x:v>
      </x:c>
      <x:c r="G63" s="75" t="str"/>
      <x:c r="H63" s="75" t="str">
        <x:v>Да</x:v>
      </x:c>
      <x:c r="I63" s="76" t="n">
        <x:v>21462</x:v>
      </x:c>
      <x:c r="J63" s="77" t="n">
        <x:v>46242.51647377315</x:v>
      </x:c>
      <x:c r="K63" s="75" t="str"/>
    </x:row>
    <x:row r="64" ht="36" customHeight="1">
      <x:c r="A64" s="75" t="str">
        <x:v>docs/product/EVENT_CLASSIFICATION_ECL_02_SLICE_SPEC.md</x:v>
      </x:c>
      <x:c r="B64" s="75" t="str">
        <x:v>Create Hub</x:v>
      </x:c>
      <x:c r="C64" s="75" t="str">
        <x:v>Documentation</x:v>
      </x:c>
      <x:c r="D64" s="75" t="str">
        <x:v>Done</x:v>
      </x:c>
      <x:c r="E64" s="75" t="str">
        <x:v>1.2</x:v>
      </x:c>
      <x:c r="F64" s="75" t="str">
        <x:v>2026-08-08</x:v>
      </x:c>
      <x:c r="G64" s="75" t="str"/>
      <x:c r="H64" s="75" t="str">
        <x:v>Да</x:v>
      </x:c>
      <x:c r="I64" s="76" t="n">
        <x:v>35159</x:v>
      </x:c>
      <x:c r="J64" s="77" t="n">
        <x:v>46242.55102638889</x:v>
      </x:c>
      <x:c r="K64" s="75" t="str"/>
    </x:row>
    <x:row r="65" ht="36" customHeight="1">
      <x:c r="A65" s="75" t="str">
        <x:v>docs/product/EVENT_CLASSIFICATION_ECL_03B_CONTRACT_DOMAIN_SLICE_SPEC.md</x:v>
      </x:c>
      <x:c r="B65" s="75" t="str">
        <x:v>Booking</x:v>
      </x:c>
      <x:c r="C65" s="75" t="str">
        <x:v>Documentation</x:v>
      </x:c>
      <x:c r="D65" s="75" t="str">
        <x:v>Done — contracts/pure domain only; no Booking runtime</x:v>
      </x:c>
      <x:c r="E65" s="75" t="str">
        <x:v>1.1</x:v>
      </x:c>
      <x:c r="F65" s="75" t="str">
        <x:v>2026-08-09</x:v>
      </x:c>
      <x:c r="G65" s="75" t="str">
        <x:v>none</x:v>
      </x:c>
      <x:c r="H65" s="75" t="str">
        <x:v>Да</x:v>
      </x:c>
      <x:c r="I65" s="76" t="n">
        <x:v>17737</x:v>
      </x:c>
      <x:c r="J65" s="77" t="n">
        <x:v>46243.55741821759</x:v>
      </x:c>
      <x:c r="K65" s="75" t="str"/>
    </x:row>
    <x:row r="66" ht="36" customHeight="1">
      <x:c r="A66" s="75" t="str">
        <x:v>docs/product/EVENT_CLASSIFICATION_ECL_03C_TRANSACTION_CORE_SLICE_SPEC.md</x:v>
      </x:c>
      <x:c r="B66" s="75" t="str">
        <x:v>Booking</x:v>
      </x:c>
      <x:c r="C66" s="75" t="str">
        <x:v>Documentation</x:v>
      </x:c>
      <x:c r="D66" s="75" t="str">
        <x:v>Review — exact implementation plan; runtime not authorized</x:v>
      </x:c>
      <x:c r="E66" s="75" t="str">
        <x:v>1.0</x:v>
      </x:c>
      <x:c r="F66" s="75" t="str">
        <x:v>2026-08-09</x:v>
      </x:c>
      <x:c r="G66" s="75" t="str">
        <x:v>none</x:v>
      </x:c>
      <x:c r="H66" s="75" t="str">
        <x:v>Да</x:v>
      </x:c>
      <x:c r="I66" s="76" t="n">
        <x:v>27447</x:v>
      </x:c>
      <x:c r="J66" s="77" t="n">
        <x:v>46243.56580803241</x:v>
      </x:c>
      <x:c r="K66" s="75" t="str"/>
    </x:row>
    <x:row r="67" ht="36" customHeight="1">
      <x:c r="A67" s="75" t="str">
        <x:v>docs/product/EVENT_CLASSIFICATION_ECL_03_DECISION_PACKAGE.md</x:v>
      </x:c>
      <x:c r="B67" s="75" t="str">
        <x:v>Booking</x:v>
      </x:c>
      <x:c r="C67" s="75" t="str">
        <x:v>Documentation</x:v>
      </x:c>
      <x:c r="D67" s="75" t="str">
        <x:v>Accepted — normative D01–D10 product/architecture decisions</x:v>
      </x:c>
      <x:c r="E67" s="75" t="str">
        <x:v>1.1</x:v>
      </x:c>
      <x:c r="F67" s="75" t="str">
        <x:v>2026-08-08</x:v>
      </x:c>
      <x:c r="G67" s="75" t="str">
        <x:v>none</x:v>
      </x:c>
      <x:c r="H67" s="75" t="str">
        <x:v>Да</x:v>
      </x:c>
      <x:c r="I67" s="76" t="n">
        <x:v>18324</x:v>
      </x:c>
      <x:c r="J67" s="77" t="n">
        <x:v>46242.77291003472</x:v>
      </x:c>
      <x:c r="K67" s="75" t="str"/>
    </x:row>
    <x:row r="68" ht="36" customHeight="1">
      <x:c r="A68" s="75" t="str">
        <x:v>docs/product/EVENT_CLASSIFICATION_ECL_03_SLICE_SPEC.md</x:v>
      </x:c>
      <x:c r="B68" s="75" t="str">
        <x:v>Booking</x:v>
      </x:c>
      <x:c r="C68" s="75" t="str">
        <x:v>Documentation</x:v>
      </x:c>
      <x:c r="D68" s="75" t="str">
        <x:v>Approved — implementation contract; production activation gated</x:v>
      </x:c>
      <x:c r="E68" s="75" t="str">
        <x:v>1.1</x:v>
      </x:c>
      <x:c r="F68" s="75" t="str">
        <x:v>2026-08-08</x:v>
      </x:c>
      <x:c r="G68" s="75" t="str"/>
      <x:c r="H68" s="75" t="str">
        <x:v>Да</x:v>
      </x:c>
      <x:c r="I68" s="76" t="n">
        <x:v>50848</x:v>
      </x:c>
      <x:c r="J68" s="77" t="n">
        <x:v>46243.55701726852</x:v>
      </x:c>
      <x:c r="K68" s="75" t="str"/>
    </x:row>
    <x:row r="69" ht="36" customHeight="1">
      <x:c r="A69" s="75" t="str">
        <x:v>docs/product/EVENT_CLASSIFICATION_SPEC.md</x:v>
      </x:c>
      <x:c r="B69" s="75" t="str">
        <x:v>Create Hub</x:v>
      </x:c>
      <x:c r="C69" s="75" t="str">
        <x:v>Documentation</x:v>
      </x:c>
      <x:c r="D69" s="75" t="str">
        <x:v>Accepted — канонический продуктовый/доменный контракт Recharge.</x:v>
      </x:c>
      <x:c r="E69" s="75" t="str">
        <x:v>2026-08-04 (rev. 2.2.3)</x:v>
      </x:c>
      <x:c r="F69" s="75" t="str"/>
      <x:c r="G69" s="75" t="str"/>
      <x:c r="H69" s="75" t="str">
        <x:v>Да</x:v>
      </x:c>
      <x:c r="I69" s="76" t="n">
        <x:v>78269</x:v>
      </x:c>
      <x:c r="J69" s="77" t="n">
        <x:v>46238.86069690972</x:v>
      </x:c>
      <x:c r="K69" s="75" t="str"/>
    </x:row>
    <x:row r="70" ht="36" customHeight="1">
      <x:c r="A70" s="75" t="str">
        <x:v>docs/product/EVENT_CREATE_CORE_SCHEDULE_SLICE_SPEC.md</x:v>
      </x:c>
      <x:c r="B70" s="75" t="str">
        <x:v>Create Hub</x:v>
      </x:c>
      <x:c r="C70" s="75" t="str">
        <x:v>Documentation</x:v>
      </x:c>
      <x:c r="D70" s="75" t="str">
        <x:v>Approved for implementation</x:v>
      </x:c>
      <x:c r="E70" s="75" t="str">
        <x:v>1.0</x:v>
      </x:c>
      <x:c r="F70" s="75" t="str">
        <x:v>2026-07-19</x:v>
      </x:c>
      <x:c r="G70" s="75" t="str">
        <x:v>local/mock, capability scope C0 + schedule subset C1</x:v>
      </x:c>
      <x:c r="H70" s="75" t="str">
        <x:v>Да</x:v>
      </x:c>
      <x:c r="I70" s="76" t="n">
        <x:v>4781</x:v>
      </x:c>
      <x:c r="J70" s="77" t="n">
        <x:v>46238.859388784724</x:v>
      </x:c>
      <x:c r="K70" s="75" t="str"/>
    </x:row>
    <x:row r="71" ht="36" customHeight="1">
      <x:c r="A71" s="75" t="str">
        <x:v>docs/product/EVENT_CREATE_SPEC.md</x:v>
      </x:c>
      <x:c r="B71" s="75" t="str">
        <x:v>Create Hub</x:v>
      </x:c>
      <x:c r="C71" s="75" t="str">
        <x:v>Documentation</x:v>
      </x:c>
      <x:c r="D71" s="75" t="str">
        <x:v>Review — reconciled with Accepted Event Classification v2.2.3</x:v>
      </x:c>
      <x:c r="E71" s="75" t="str">
        <x:v>1.4</x:v>
      </x:c>
      <x:c r="F71" s="75" t="str">
        <x:v>2026-08-05</x:v>
      </x:c>
      <x:c r="G71" s="75" t="str"/>
      <x:c r="H71" s="75" t="str">
        <x:v>Да</x:v>
      </x:c>
      <x:c r="I71" s="76" t="n">
        <x:v>146926</x:v>
      </x:c>
      <x:c r="J71" s="77" t="n">
        <x:v>46238.90803050926</x:v>
      </x:c>
      <x:c r="K71" s="75" t="str"/>
    </x:row>
    <x:row r="72" ht="36" customHeight="1">
      <x:c r="A72" s="75" t="str">
        <x:v>docs/product/FIND_PEOPLE_CREATE_BLOCK_SPEC.md</x:v>
      </x:c>
      <x:c r="B72" s="75" t="str">
        <x:v>Create Hub</x:v>
      </x:c>
      <x:c r="C72" s="75" t="str">
        <x:v>Documentation</x:v>
      </x:c>
      <x:c r="D72" s="75" t="str">
        <x:v>Reconciled Final Product Blueprint</x:v>
      </x:c>
      <x:c r="E72" s="75" t="str">
        <x:v>3.1</x:v>
      </x:c>
      <x:c r="F72" s="75" t="str">
        <x:v>2026-07-19</x:v>
      </x:c>
      <x:c r="G72" s="75" t="str"/>
      <x:c r="H72" s="75" t="str">
        <x:v>Да</x:v>
      </x:c>
      <x:c r="I72" s="76" t="n">
        <x:v>143964</x:v>
      </x:c>
      <x:c r="J72" s="77" t="n">
        <x:v>46222.38164386574</x:v>
      </x:c>
      <x:c r="K72" s="75" t="str"/>
    </x:row>
    <x:row r="73" ht="36" customHeight="1">
      <x:c r="A73" s="75" t="str">
        <x:v>docs/product/IDENTITY_PUBLISHER_SLICE_SPEC.md</x:v>
      </x:c>
      <x:c r="B73" s="75" t="str">
        <x:v>Identity Profiles</x:v>
      </x:c>
      <x:c r="C73" s="75" t="str">
        <x:v>Documentation</x:v>
      </x:c>
      <x:c r="D73" s="75" t="str">
        <x:v>Approved; bounded local/mock implementation allowed during stabilization</x:v>
      </x:c>
      <x:c r="E73" s="75" t="str">
        <x:v>1.3.1</x:v>
      </x:c>
      <x:c r="F73" s="75" t="str">
        <x:v>2026-08-11</x:v>
      </x:c>
      <x:c r="G73" s="75" t="str"/>
      <x:c r="H73" s="75" t="str">
        <x:v>Да</x:v>
      </x:c>
      <x:c r="I73" s="76" t="n">
        <x:v>27903</x:v>
      </x:c>
      <x:c r="J73" s="77" t="n">
        <x:v>46245.69812480324</x:v>
      </x:c>
      <x:c r="K73" s="75" t="str"/>
    </x:row>
    <x:row r="74" ht="36" customHeight="1">
      <x:c r="A74" s="75" t="str">
        <x:v>docs/product/MVP_PLAN_3_SPRINTS.md</x:v>
      </x:c>
      <x:c r="B74" s="75" t="str">
        <x:v>Documentation</x:v>
      </x:c>
      <x:c r="C74" s="75" t="str">
        <x:v>Documentation</x:v>
      </x:c>
      <x:c r="D74" s="75" t="str">
        <x:v>Не указан</x:v>
      </x:c>
      <x:c r="E74" s="75" t="str"/>
      <x:c r="F74" s="75" t="str"/>
      <x:c r="G74" s="75" t="str"/>
      <x:c r="H74" s="75" t="str">
        <x:v>Да</x:v>
      </x:c>
      <x:c r="I74" s="76" t="n">
        <x:v>7848</x:v>
      </x:c>
      <x:c r="J74" s="77" t="n">
        <x:v>46132.01943181713</x:v>
      </x:c>
      <x:c r="K74" s="75" t="str"/>
    </x:row>
    <x:row r="75" ht="36" customHeight="1">
      <x:c r="A75" s="75" t="str">
        <x:v>docs/product/MVP_SLICE_TEMPLATE.md</x:v>
      </x:c>
      <x:c r="B75" s="75" t="str">
        <x:v>Documentation</x:v>
      </x:c>
      <x:c r="C75" s="75" t="str">
        <x:v>Documentation</x:v>
      </x:c>
      <x:c r="D75" s="75" t="str">
        <x:v>Не указан</x:v>
      </x:c>
      <x:c r="E75" s="75" t="str"/>
      <x:c r="F75" s="75" t="str"/>
      <x:c r="G75" s="75" t="str"/>
      <x:c r="H75" s="75" t="str">
        <x:v>Да</x:v>
      </x:c>
      <x:c r="I75" s="76" t="n">
        <x:v>195</x:v>
      </x:c>
      <x:c r="J75" s="77" t="n">
        <x:v>46129.00245039352</x:v>
      </x:c>
      <x:c r="K75" s="75" t="str"/>
    </x:row>
    <x:row r="76" ht="36" customHeight="1">
      <x:c r="A76" s="75" t="str">
        <x:v>docs/product/PLACE_ADAPTIVE_CREATE_AI_SLICE_SPEC.md</x:v>
      </x:c>
      <x:c r="B76" s="75" t="str">
        <x:v>AI</x:v>
      </x:c>
      <x:c r="C76" s="75" t="str">
        <x:v>Documentation</x:v>
      </x:c>
      <x:c r="D76" s="75" t="str">
        <x:v>Approved.</x:v>
      </x:c>
      <x:c r="E76" s="75" t="str">
        <x:v>v1.0 (2026-07-31).</x:v>
      </x:c>
      <x:c r="F76" s="75" t="str"/>
      <x:c r="G76" s="75" t="str">
        <x:v>local/mock-first, без live AI, web и Firebase.</x:v>
      </x:c>
      <x:c r="H76" s="75" t="str">
        <x:v>Да</x:v>
      </x:c>
      <x:c r="I76" s="76" t="n">
        <x:v>15890</x:v>
      </x:c>
      <x:c r="J76" s="77" t="n">
        <x:v>46234.045811585645</x:v>
      </x:c>
      <x:c r="K76" s="75" t="str"/>
    </x:row>
    <x:row r="77" ht="36" customHeight="1">
      <x:c r="A77" s="75" t="str">
        <x:v>docs/product/PLACE_CREATE_BLOCK_SPEC.md</x:v>
      </x:c>
      <x:c r="B77" s="75" t="str">
        <x:v>Create Hub</x:v>
      </x:c>
      <x:c r="C77" s="75" t="str">
        <x:v>Documentation</x:v>
      </x:c>
      <x:c r="D77" s="75" t="str">
        <x:v>Approved.</x:v>
      </x:c>
      <x:c r="E77" s="75" t="str">
        <x:v>v1.0 (2026-07-19). Статус: Approved.</x:v>
      </x:c>
      <x:c r="F77" s="75" t="str"/>
      <x:c r="G77" s="75" t="str"/>
      <x:c r="H77" s="75" t="str">
        <x:v>Да</x:v>
      </x:c>
      <x:c r="I77" s="76" t="n">
        <x:v>116235</x:v>
      </x:c>
      <x:c r="J77" s="77" t="n">
        <x:v>46234.06495817129</x:v>
      </x:c>
      <x:c r="K77" s="75" t="str"/>
    </x:row>
    <x:row r="78" ht="36" customHeight="1">
      <x:c r="A78" s="75" t="str">
        <x:v>docs/product/PROFESSIONAL_PAGE_DECISION_PACKAGE.md</x:v>
      </x:c>
      <x:c r="B78" s="75" t="str">
        <x:v>Documentation</x:v>
      </x:c>
      <x:c r="C78" s="75" t="str">
        <x:v>Documentation</x:v>
      </x:c>
      <x:c r="D78" s="75" t="str">
        <x:v>Decision record — non-normative after integration. 42 of the</x:v>
      </x:c>
      <x:c r="E78" s="75" t="str">
        <x:v>1.4</x:v>
      </x:c>
      <x:c r="F78" s="75" t="str">
        <x:v>2026-08-16</x:v>
      </x:c>
      <x:c r="G78" s="75" t="str">
        <x:v>none</x:v>
      </x:c>
      <x:c r="H78" s="75" t="str">
        <x:v>Да</x:v>
      </x:c>
      <x:c r="I78" s="76" t="n">
        <x:v>49041</x:v>
      </x:c>
      <x:c r="J78" s="77" t="n">
        <x:v>46250.40159350695</x:v>
      </x:c>
      <x:c r="K78" s="75" t="str"/>
    </x:row>
    <x:row r="79" ht="36" customHeight="1">
      <x:c r="A79" s="75" t="str">
        <x:v>docs/product/PROFESSIONAL_PAGE_FUNCTIONAL_SPEC.md</x:v>
      </x:c>
      <x:c r="B79" s="75" t="str">
        <x:v>Documentation</x:v>
      </x:c>
      <x:c r="C79" s="75" t="str">
        <x:v>Documentation</x:v>
      </x:c>
      <x:c r="D79" s="75" t="str">
        <x:v>Draft for product and architecture review</x:v>
      </x:c>
      <x:c r="E79" s="75" t="str">
        <x:v>2.32</x:v>
      </x:c>
      <x:c r="F79" s="75" t="str">
        <x:v>2026-08-16</x:v>
      </x:c>
      <x:c r="G79" s="75" t="str"/>
      <x:c r="H79" s="75" t="str">
        <x:v>Да</x:v>
      </x:c>
      <x:c r="I79" s="76" t="n">
        <x:v>166474</x:v>
      </x:c>
      <x:c r="J79" s="77" t="n">
        <x:v>46250.47130394676</x:v>
      </x:c>
      <x:c r="K79" s="75" t="str"/>
    </x:row>
    <x:row r="80" ht="36" customHeight="1">
      <x:c r="A80" s="75" t="str">
        <x:v>docs/product/PROFILE_DOCUMENTS_INDEX.md</x:v>
      </x:c>
      <x:c r="B80" s="75" t="str">
        <x:v>Identity Profiles</x:v>
      </x:c>
      <x:c r="C80" s="75" t="str">
        <x:v>Documentation</x:v>
      </x:c>
      <x:c r="D80" s="75" t="str">
        <x:v>Reference index — fully non-normative, no exceptions (see §0)</x:v>
      </x:c>
      <x:c r="E80" s="75" t="str">
        <x:v>1.4 (synchronizes Creator v1.9, Public Creator v1.9 and</x:v>
      </x:c>
      <x:c r="F80" s="75" t="str">
        <x:v>2026-08-16</x:v>
      </x:c>
      <x:c r="G80" s="75" t="str"/>
      <x:c r="H80" s="75" t="str">
        <x:v>Да</x:v>
      </x:c>
      <x:c r="I80" s="76" t="n">
        <x:v>27863</x:v>
      </x:c>
      <x:c r="J80" s="77" t="n">
        <x:v>46250.47200729167</x:v>
      </x:c>
      <x:c r="K80" s="75" t="str"/>
    </x:row>
    <x:row r="81" ht="36" customHeight="1">
      <x:c r="A81" s="75" t="str">
        <x:v>docs/product/PUBLIC_CREATOR_PROFILE_FUNCTIONAL_SPEC.md</x:v>
      </x:c>
      <x:c r="B81" s="75" t="str">
        <x:v>Identity Profiles</x:v>
      </x:c>
      <x:c r="C81" s="75" t="str">
        <x:v>Documentation</x:v>
      </x:c>
      <x:c r="D81" s="75" t="str">
        <x:v>Draft for product and architecture review</x:v>
      </x:c>
      <x:c r="E81" s="75" t="str">
        <x:v>1.9 (supersedes v1.8 — separates non-restrictive pending review</x:v>
      </x:c>
      <x:c r="F81" s="75" t="str">
        <x:v>2026-08-12</x:v>
      </x:c>
      <x:c r="G81" s="75" t="str"/>
      <x:c r="H81" s="75" t="str">
        <x:v>Да</x:v>
      </x:c>
      <x:c r="I81" s="76" t="n">
        <x:v>77673</x:v>
      </x:c>
      <x:c r="J81" s="77" t="n">
        <x:v>46250.47134189815</x:v>
      </x:c>
      <x:c r="K81" s="75" t="str"/>
    </x:row>
    <x:row r="82" ht="36" customHeight="1">
      <x:c r="A82" s="75" t="str">
        <x:v>docs/product/PUBLIC_PROFESSIONAL_PAGE_FUNCTIONAL_SPEC.md</x:v>
      </x:c>
      <x:c r="B82" s="75" t="str">
        <x:v>Documentation</x:v>
      </x:c>
      <x:c r="C82" s="75" t="str">
        <x:v>Documentation</x:v>
      </x:c>
      <x:c r="D82" s="75" t="str">
        <x:v>Draft for product and architecture review</x:v>
      </x:c>
      <x:c r="E82" s="75" t="str">
        <x:v>1.1</x:v>
      </x:c>
      <x:c r="F82" s="75" t="str">
        <x:v>2026-08-16</x:v>
      </x:c>
      <x:c r="G82" s="75" t="str"/>
      <x:c r="H82" s="75" t="str">
        <x:v>Да</x:v>
      </x:c>
      <x:c r="I82" s="76" t="n">
        <x:v>31666</x:v>
      </x:c>
      <x:c r="J82" s="77" t="n">
        <x:v>46250.47017738426</x:v>
      </x:c>
      <x:c r="K82" s="75" t="str"/>
    </x:row>
    <x:row r="83" ht="36" customHeight="1">
      <x:c r="A83" s="75" t="str">
        <x:v>docs/product/PUBLIC_VIEWER_PROFILE_FUNCTIONAL_SPEC.md</x:v>
      </x:c>
      <x:c r="B83" s="75" t="str">
        <x:v>Identity Profiles</x:v>
      </x:c>
      <x:c r="C83" s="75" t="str">
        <x:v>Documentation</x:v>
      </x:c>
      <x:c r="D83" s="75" t="str">
        <x:v>Draft for product and architecture review</x:v>
      </x:c>
      <x:c r="E83" s="75" t="str">
        <x:v>1.0</x:v>
      </x:c>
      <x:c r="F83" s="75" t="str">
        <x:v>2026-08-16</x:v>
      </x:c>
      <x:c r="G83" s="75" t="str"/>
      <x:c r="H83" s="75" t="str">
        <x:v>Да</x:v>
      </x:c>
      <x:c r="I83" s="76" t="n">
        <x:v>21048</x:v>
      </x:c>
      <x:c r="J83" s="77" t="n">
        <x:v>46250.46747271991</x:v>
      </x:c>
      <x:c r="K83" s="75" t="str"/>
    </x:row>
    <x:row r="84" ht="36" customHeight="1">
      <x:c r="A84" s="75" t="str">
        <x:v>docs/product/RECHARGE_BACKEND_DELIVERY_MAP.md</x:v>
      </x:c>
      <x:c r="B84" s="75" t="str">
        <x:v>Backend</x:v>
      </x:c>
      <x:c r="C84" s="75" t="str">
        <x:v>Documentation</x:v>
      </x:c>
      <x:c r="D84" s="75" t="str">
        <x:v>Approved — canonical coordination baseline, documentation only</x:v>
      </x:c>
      <x:c r="E84" s="75" t="str">
        <x:v>2.4.2</x:v>
      </x:c>
      <x:c r="F84" s="75" t="str">
        <x:v>2026-08-16</x:v>
      </x:c>
      <x:c r="G84" s="75" t="str">
        <x:v>none</x:v>
      </x:c>
      <x:c r="H84" s="75" t="str">
        <x:v>Да</x:v>
      </x:c>
      <x:c r="I84" s="76" t="n">
        <x:v>62609</x:v>
      </x:c>
      <x:c r="J84" s="77" t="n">
        <x:v>46250.41162226852</x:v>
      </x:c>
      <x:c r="K84" s="75" t="str"/>
    </x:row>
    <x:row r="85" ht="36" customHeight="1">
      <x:c r="A85" s="75" t="str">
        <x:v>docs/product/RECHARGE_BACKEND_LATVIA_IMPLEMENTATION_ROADMAP.md</x:v>
      </x:c>
      <x:c r="B85" s="75" t="str">
        <x:v>Backend</x:v>
      </x:c>
      <x:c r="C85" s="75" t="str">
        <x:v>Documentation</x:v>
      </x:c>
      <x:c r="D85" s="75" t="str">
        <x:v>Draft — review required, documentation only</x:v>
      </x:c>
      <x:c r="E85" s="75" t="str">
        <x:v>1.0</x:v>
      </x:c>
      <x:c r="F85" s="75" t="str">
        <x:v>2026-08-10</x:v>
      </x:c>
      <x:c r="G85" s="75" t="str">
        <x:v>none</x:v>
      </x:c>
      <x:c r="H85" s="75" t="str">
        <x:v>Да</x:v>
      </x:c>
      <x:c r="I85" s="76" t="n">
        <x:v>59708</x:v>
      </x:c>
      <x:c r="J85" s="77" t="n">
        <x:v>46250.411622291664</x:v>
      </x:c>
      <x:c r="K85" s="75" t="str"/>
    </x:row>
    <x:row r="86" ht="36" customHeight="1">
      <x:c r="A86" s="75" t="str">
        <x:v>docs/product/RECHARGE_BACKEND_MASTER_SPEC.md</x:v>
      </x:c>
      <x:c r="B86" s="75" t="str">
        <x:v>Backend</x:v>
      </x:c>
      <x:c r="C86" s="75" t="str">
        <x:v>Documentation</x:v>
      </x:c>
      <x:c r="D86" s="75" t="str">
        <x:v>Draft — architecture review required</x:v>
      </x:c>
      <x:c r="E86" s="75" t="str">
        <x:v>0.3</x:v>
      </x:c>
      <x:c r="F86" s="75" t="str">
        <x:v>2026-08-14</x:v>
      </x:c>
      <x:c r="G86" s="75" t="str">
        <x:v>Absent</x:v>
      </x:c>
      <x:c r="H86" s="75" t="str">
        <x:v>Да</x:v>
      </x:c>
      <x:c r="I86" s="76" t="n">
        <x:v>62502</x:v>
      </x:c>
      <x:c r="J86" s="77" t="n">
        <x:v>46250.41162233796</x:v>
      </x:c>
      <x:c r="K86" s="75" t="str"/>
    </x:row>
    <x:row r="87" ht="36" customHeight="1">
      <x:c r="A87" s="75" t="str">
        <x:v>docs/product/RECHARGE_CREATE_TAXONOMY_V1.md</x:v>
      </x:c>
      <x:c r="B87" s="75" t="str">
        <x:v>Create Hub</x:v>
      </x:c>
      <x:c r="C87" s="75" t="str">
        <x:v>Documentation</x:v>
      </x:c>
      <x:c r="D87" s="75" t="str">
        <x:v>Archived historical reference; superseded</x:v>
      </x:c>
      <x:c r="E87" s="75" t="str"/>
      <x:c r="F87" s="75" t="str"/>
      <x:c r="G87" s="75" t="str"/>
      <x:c r="H87" s="75" t="str">
        <x:v>Да</x:v>
      </x:c>
      <x:c r="I87" s="76" t="n">
        <x:v>33443</x:v>
      </x:c>
      <x:c r="J87" s="77" t="n">
        <x:v>46234.060807141206</x:v>
      </x:c>
      <x:c r="K87" s="75" t="str"/>
    </x:row>
    <x:row r="88" ht="36" customHeight="1">
      <x:c r="A88" s="75" t="str">
        <x:v>docs/product/ROUTE_BUILDER_SPEC.md</x:v>
      </x:c>
      <x:c r="B88" s="75" t="str">
        <x:v>Product Categories</x:v>
      </x:c>
      <x:c r="C88" s="75" t="str">
        <x:v>Documentation</x:v>
      </x:c>
      <x:c r="D88" s="75" t="str">
        <x:v>целевая продуктовая спецификация.</x:v>
      </x:c>
      <x:c r="E88" s="75" t="str">
        <x:v>v3.2 (2026-07-20). Статус: целевая продуктовая спецификация.</x:v>
      </x:c>
      <x:c r="F88" s="75" t="str"/>
      <x:c r="G88" s="75" t="str"/>
      <x:c r="H88" s="75" t="str">
        <x:v>Да</x:v>
      </x:c>
      <x:c r="I88" s="76" t="n">
        <x:v>78924</x:v>
      </x:c>
      <x:c r="J88" s="77" t="n">
        <x:v>46223.68610086806</x:v>
      </x:c>
      <x:c r="K88" s="75" t="str"/>
    </x:row>
    <x:row r="89" ht="36" customHeight="1">
      <x:c r="A89" s="75" t="str">
        <x:v>docs/product/ROUTE_CREATE_BLOCK_SLICE_SPEC.md</x:v>
      </x:c>
      <x:c r="B89" s="75" t="str">
        <x:v>Create Hub</x:v>
      </x:c>
      <x:c r="C89" s="75" t="str">
        <x:v>Documentation</x:v>
      </x:c>
      <x:c r="D89" s="75" t="str">
        <x:v>Approved product slice.</x:v>
      </x:c>
      <x:c r="E89" s="75" t="str">
        <x:v>v1.2 (2026-07-20). Статус: Approved product slice.</x:v>
      </x:c>
      <x:c r="F89" s="75" t="str"/>
      <x:c r="G89" s="75" t="str"/>
      <x:c r="H89" s="75" t="str">
        <x:v>Да</x:v>
      </x:c>
      <x:c r="I89" s="76" t="n">
        <x:v>40956</x:v>
      </x:c>
      <x:c r="J89" s="77" t="n">
        <x:v>46228.884452060185</x:v>
      </x:c>
      <x:c r="K89" s="75" t="str"/>
    </x:row>
    <x:row r="90" ht="36" customHeight="1">
      <x:c r="A90" s="75" t="str">
        <x:v>docs/product/ROUTE_IMPLEMENTATION_ROADMAP.md</x:v>
      </x:c>
      <x:c r="B90" s="75" t="str">
        <x:v>Market Rollout</x:v>
      </x:c>
      <x:c r="C90" s="75" t="str">
        <x:v>Documentation</x:v>
      </x:c>
      <x:c r="D90" s="75" t="str">
        <x:v>Approved execution roadmap.</x:v>
      </x:c>
      <x:c r="E90" s="75" t="str">
        <x:v>v1.7 (2026-07-25).</x:v>
      </x:c>
      <x:c r="F90" s="75" t="str"/>
      <x:c r="G90" s="75" t="str"/>
      <x:c r="H90" s="75" t="str">
        <x:v>Да</x:v>
      </x:c>
      <x:c r="I90" s="76" t="n">
        <x:v>40096</x:v>
      </x:c>
      <x:c r="J90" s="77" t="n">
        <x:v>46234.375911944444</x:v>
      </x:c>
      <x:c r="K90" s="75" t="str"/>
    </x:row>
    <x:row r="91" ht="36" customHeight="1">
      <x:c r="A91" s="75" t="str">
        <x:v>docs/product/S1_AUTH_SPEC.md</x:v>
      </x:c>
      <x:c r="B91" s="75" t="str">
        <x:v>Documentation</x:v>
      </x:c>
      <x:c r="C91" s="75" t="str">
        <x:v>Documentation</x:v>
      </x:c>
      <x:c r="D91" s="75" t="str">
        <x:v>Done (checkpoint fixed)</x:v>
      </x:c>
      <x:c r="E91" s="75" t="str"/>
      <x:c r="F91" s="75" t="str">
        <x:v>2026-04-17</x:v>
      </x:c>
      <x:c r="G91" s="75" t="str"/>
      <x:c r="H91" s="75" t="str">
        <x:v>Да</x:v>
      </x:c>
      <x:c r="I91" s="76" t="n">
        <x:v>2264</x:v>
      </x:c>
      <x:c r="J91" s="77" t="n">
        <x:v>46129.57767333333</x:v>
      </x:c>
      <x:c r="K91" s="75" t="str"/>
    </x:row>
    <x:row r="92" ht="36" customHeight="1">
      <x:c r="A92" s="75" t="str">
        <x:v>docs/product/S1_CORE_SPEC.md</x:v>
      </x:c>
      <x:c r="B92" s="75" t="str">
        <x:v>Documentation</x:v>
      </x:c>
      <x:c r="C92" s="75" t="str">
        <x:v>Documentation</x:v>
      </x:c>
      <x:c r="D92" s="75" t="str">
        <x:v>Done (checkpoint fixed)</x:v>
      </x:c>
      <x:c r="E92" s="75" t="str"/>
      <x:c r="F92" s="75" t="str">
        <x:v>2026-04-17</x:v>
      </x:c>
      <x:c r="G92" s="75" t="str"/>
      <x:c r="H92" s="75" t="str">
        <x:v>Да</x:v>
      </x:c>
      <x:c r="I92" s="76" t="n">
        <x:v>1044</x:v>
      </x:c>
      <x:c r="J92" s="77" t="n">
        <x:v>46129.740153252314</x:v>
      </x:c>
      <x:c r="K92" s="75" t="str"/>
    </x:row>
    <x:row r="93" ht="36" customHeight="1">
      <x:c r="A93" s="75" t="str">
        <x:v>docs/product/S1_DISC_SPEC.md</x:v>
      </x:c>
      <x:c r="B93" s="75" t="str">
        <x:v>Documentation</x:v>
      </x:c>
      <x:c r="C93" s="75" t="str">
        <x:v>Documentation</x:v>
      </x:c>
      <x:c r="D93" s="75" t="str">
        <x:v>Done (checkpoint fixed)</x:v>
      </x:c>
      <x:c r="E93" s="75" t="str"/>
      <x:c r="F93" s="75" t="str">
        <x:v>2026-04-17</x:v>
      </x:c>
      <x:c r="G93" s="75" t="str"/>
      <x:c r="H93" s="75" t="str">
        <x:v>Да</x:v>
      </x:c>
      <x:c r="I93" s="76" t="n">
        <x:v>1244</x:v>
      </x:c>
      <x:c r="J93" s="77" t="n">
        <x:v>46129.692995983794</x:v>
      </x:c>
      <x:c r="K93" s="75" t="str"/>
    </x:row>
    <x:row r="94" ht="36" customHeight="1">
      <x:c r="A94" s="75" t="str">
        <x:v>docs/product/S2_DISC_02_MAP_SPEC.md</x:v>
      </x:c>
      <x:c r="B94" s="75" t="str">
        <x:v>Documentation</x:v>
      </x:c>
      <x:c r="C94" s="75" t="str">
        <x:v>Documentation</x:v>
      </x:c>
      <x:c r="D94" s="75" t="str">
        <x:v>Done (checkpoint fixed)</x:v>
      </x:c>
      <x:c r="E94" s="75" t="str"/>
      <x:c r="F94" s="75" t="str">
        <x:v>2026-04-18</x:v>
      </x:c>
      <x:c r="G94" s="75" t="str"/>
      <x:c r="H94" s="75" t="str">
        <x:v>Да</x:v>
      </x:c>
      <x:c r="I94" s="76" t="n">
        <x:v>1862</x:v>
      </x:c>
      <x:c r="J94" s="77" t="n">
        <x:v>46129.91359321759</x:v>
      </x:c>
      <x:c r="K94" s="75" t="str"/>
    </x:row>
    <x:row r="95" ht="36" customHeight="1">
      <x:c r="A95" s="75" t="str">
        <x:v>docs/product/S2_EXP_01_PROFILE_SETTINGS_SPEC.md</x:v>
      </x:c>
      <x:c r="B95" s="75" t="str">
        <x:v>Identity Profiles</x:v>
      </x:c>
      <x:c r="C95" s="75" t="str">
        <x:v>Documentation</x:v>
      </x:c>
      <x:c r="D95" s="75" t="str">
        <x:v>Done (checkpoint fixed)</x:v>
      </x:c>
      <x:c r="E95" s="75" t="str"/>
      <x:c r="F95" s="75" t="str">
        <x:v>2026-04-18</x:v>
      </x:c>
      <x:c r="G95" s="75" t="str"/>
      <x:c r="H95" s="75" t="str">
        <x:v>Да</x:v>
      </x:c>
      <x:c r="I95" s="76" t="n">
        <x:v>2062</x:v>
      </x:c>
      <x:c r="J95" s="77" t="n">
        <x:v>46129.98891173611</x:v>
      </x:c>
      <x:c r="K95" s="75" t="str"/>
    </x:row>
    <x:row r="96" ht="36" customHeight="1">
      <x:c r="A96" s="75" t="str">
        <x:v>docs/product/S3_CRT_01_CREATE_SPEC.md</x:v>
      </x:c>
      <x:c r="B96" s="75" t="str">
        <x:v>Create Hub</x:v>
      </x:c>
      <x:c r="C96" s="75" t="str">
        <x:v>Documentation</x:v>
      </x:c>
      <x:c r="D96" s="75" t="str">
        <x:v>Done</x:v>
      </x:c>
      <x:c r="E96" s="75" t="str"/>
      <x:c r="F96" s="75" t="str">
        <x:v>2026-04-20</x:v>
      </x:c>
      <x:c r="G96" s="75" t="str"/>
      <x:c r="H96" s="75" t="str">
        <x:v>Да</x:v>
      </x:c>
      <x:c r="I96" s="76" t="n">
        <x:v>1789</x:v>
      </x:c>
      <x:c r="J96" s="77" t="n">
        <x:v>46220.091295983795</x:v>
      </x:c>
      <x:c r="K96" s="75" t="str"/>
    </x:row>
    <x:row r="97" ht="36" customHeight="1">
      <x:c r="A97" s="75" t="str">
        <x:v>docs/product/S3_NOTIF_01_NOTIFICATIONS_SPEC.md</x:v>
      </x:c>
      <x:c r="B97" s="75" t="str">
        <x:v>Product Categories</x:v>
      </x:c>
      <x:c r="C97" s="75" t="str">
        <x:v>Documentation</x:v>
      </x:c>
      <x:c r="D97" s="75" t="str">
        <x:v>Done</x:v>
      </x:c>
      <x:c r="E97" s="75" t="str"/>
      <x:c r="F97" s="75" t="str">
        <x:v>2026-04-20</x:v>
      </x:c>
      <x:c r="G97" s="75" t="str"/>
      <x:c r="H97" s="75" t="str">
        <x:v>Да</x:v>
      </x:c>
      <x:c r="I97" s="76" t="n">
        <x:v>1919</x:v>
      </x:c>
      <x:c r="J97" s="77" t="n">
        <x:v>46132.00387421296</x:v>
      </x:c>
      <x:c r="K97" s="75" t="str"/>
    </x:row>
    <x:row r="98" ht="36" customHeight="1">
      <x:c r="A98" s="75" t="str">
        <x:v>docs/product/S3_REL_01_RELEASE_READINESS_SPEC.md</x:v>
      </x:c>
      <x:c r="B98" s="75" t="str">
        <x:v>Market Rollout</x:v>
      </x:c>
      <x:c r="C98" s="75" t="str">
        <x:v>Documentation</x:v>
      </x:c>
      <x:c r="D98" s="75" t="str">
        <x:v>Done</x:v>
      </x:c>
      <x:c r="E98" s="75" t="str"/>
      <x:c r="F98" s="75" t="str">
        <x:v>2026-04-20</x:v>
      </x:c>
      <x:c r="G98" s="75" t="str"/>
      <x:c r="H98" s="75" t="str">
        <x:v>Да</x:v>
      </x:c>
      <x:c r="I98" s="76" t="n">
        <x:v>1418</x:v>
      </x:c>
      <x:c r="J98" s="77" t="n">
        <x:v>46132.01927813658</x:v>
      </x:c>
      <x:c r="K98" s="75" t="str"/>
    </x:row>
    <x:row r="99" ht="36" customHeight="1">
      <x:c r="A99" s="75" t="str">
        <x:v>docs/product/SCENARIO_AI_GENERATION_SPEC.md</x:v>
      </x:c>
      <x:c r="B99" s="75" t="str">
        <x:v>AI</x:v>
      </x:c>
      <x:c r="C99" s="75" t="str">
        <x:v>Documentation</x:v>
      </x:c>
      <x:c r="D99" s="75" t="str">
        <x:v>Approved; SCN-AI-01 local mock implemented; external providers gated.</x:v>
      </x:c>
      <x:c r="E99" s="75" t="str">
        <x:v>v1.1 (2026-07-31).</x:v>
      </x:c>
      <x:c r="F99" s="75" t="str"/>
      <x:c r="G99" s="75" t="str"/>
      <x:c r="H99" s="75" t="str">
        <x:v>Да</x:v>
      </x:c>
      <x:c r="I99" s="76" t="n">
        <x:v>20977</x:v>
      </x:c>
      <x:c r="J99" s="77" t="n">
        <x:v>46234.04819981482</x:v>
      </x:c>
      <x:c r="K99" s="75" t="str"/>
    </x:row>
    <x:row r="100" ht="36" customHeight="1">
      <x:c r="A100" s="75" t="str">
        <x:v>docs/product/SCENARIO_AI_LOCAL_MOCK_SLICE_SPEC.md</x:v>
      </x:c>
      <x:c r="B100" s="75" t="str">
        <x:v>AI</x:v>
      </x:c>
      <x:c r="C100" s="75" t="str">
        <x:v>Documentation</x:v>
      </x:c>
      <x:c r="D100" s="75" t="str">
        <x:v>Approved.</x:v>
      </x:c>
      <x:c r="E100" s="75" t="str">
        <x:v>v1.0 (2026-07-31).</x:v>
      </x:c>
      <x:c r="F100" s="75" t="str"/>
      <x:c r="G100" s="75" t="str"/>
      <x:c r="H100" s="75" t="str">
        <x:v>Да</x:v>
      </x:c>
      <x:c r="I100" s="76" t="n">
        <x:v>6737</x:v>
      </x:c>
      <x:c r="J100" s="77" t="n">
        <x:v>46234.04304967593</x:v>
      </x:c>
      <x:c r="K100" s="75" t="str"/>
    </x:row>
    <x:row r="101" ht="36" customHeight="1">
      <x:c r="A101" s="75" t="str">
        <x:v>docs/product/SCENARIO_BUILDER_SPEC.md</x:v>
      </x:c>
      <x:c r="B101" s="75" t="str">
        <x:v>Product Categories</x:v>
      </x:c>
      <x:c r="C101" s="75" t="str">
        <x:v>Documentation</x:v>
      </x:c>
      <x:c r="D101" s="75" t="str">
        <x:v>Accepted.</x:v>
      </x:c>
      <x:c r="E101" s="75" t="str">
        <x:v>v1.7 (2026-08-04). Статус: Accepted.</x:v>
      </x:c>
      <x:c r="F101" s="75" t="str"/>
      <x:c r="G101" s="75" t="str"/>
      <x:c r="H101" s="75" t="str">
        <x:v>Да</x:v>
      </x:c>
      <x:c r="I101" s="76" t="n">
        <x:v>147419</x:v>
      </x:c>
      <x:c r="J101" s="77" t="n">
        <x:v>46237.93917855324</x:v>
      </x:c>
      <x:c r="K101" s="75" t="str"/>
    </x:row>
    <x:row r="102" ht="36" customHeight="1">
      <x:c r="A102" s="75" t="str">
        <x:v>docs/product/SCENARIO_CONNECTED_PLANNING_SPEC.md</x:v>
      </x:c>
      <x:c r="B102" s="75" t="str">
        <x:v>Product Categories</x:v>
      </x:c>
      <x:c r="C102" s="75" t="str">
        <x:v>Documentation</x:v>
      </x:c>
      <x:c r="D102" s="75" t="str">
        <x:v>Approved</x:v>
      </x:c>
      <x:c r="E102" s="75" t="str">
        <x:v>1.1</x:v>
      </x:c>
      <x:c r="F102" s="75" t="str">
        <x:v>2026-07-31</x:v>
      </x:c>
      <x:c r="G102" s="75" t="str"/>
      <x:c r="H102" s="75" t="str">
        <x:v>Да</x:v>
      </x:c>
      <x:c r="I102" s="76" t="n">
        <x:v>71084</x:v>
      </x:c>
      <x:c r="J102" s="77" t="n">
        <x:v>46234.376212662035</x:v>
      </x:c>
      <x:c r="K102" s="75" t="str"/>
    </x:row>
    <x:row r="103" ht="36" customHeight="1">
      <x:c r="A103" s="75" t="str">
        <x:v>docs/product/SCENARIO_CREATE_MIGRATION_ROLLOUT_PLAN.md</x:v>
      </x:c>
      <x:c r="B103" s="75" t="str">
        <x:v>Create Hub</x:v>
      </x:c>
      <x:c r="C103" s="75" t="str">
        <x:v>Documentation</x:v>
      </x:c>
      <x:c r="D103" s="75" t="str">
        <x:v>Accepted.</x:v>
      </x:c>
      <x:c r="E103" s="75" t="str">
        <x:v>v1.0 (2026-07-19). Статус: Accepted.</x:v>
      </x:c>
      <x:c r="F103" s="75" t="str"/>
      <x:c r="G103" s="75" t="str"/>
      <x:c r="H103" s="75" t="str">
        <x:v>Да</x:v>
      </x:c>
      <x:c r="I103" s="76" t="n">
        <x:v>13527</x:v>
      </x:c>
      <x:c r="J103" s="77" t="n">
        <x:v>46222.763372407404</x:v>
      </x:c>
      <x:c r="K103" s="75" t="str"/>
    </x:row>
    <x:row r="104" ht="36" customHeight="1">
      <x:c r="A104" s="75" t="str">
        <x:v>docs/product/SCENARIO_FUEL_CLEANUP_SLICE_SPEC.md</x:v>
      </x:c>
      <x:c r="B104" s="75" t="str">
        <x:v>Product Categories</x:v>
      </x:c>
      <x:c r="C104" s="75" t="str">
        <x:v>Documentation</x:v>
      </x:c>
      <x:c r="D104" s="75" t="str">
        <x:v>Done.</x:v>
      </x:c>
      <x:c r="E104" s="75" t="str">
        <x:v>v1.0 (2026-08-04).</x:v>
      </x:c>
      <x:c r="F104" s="75" t="str"/>
      <x:c r="G104" s="75" t="str"/>
      <x:c r="H104" s="75" t="str">
        <x:v>Да</x:v>
      </x:c>
      <x:c r="I104" s="76" t="n">
        <x:v>5045</x:v>
      </x:c>
      <x:c r="J104" s="77" t="n">
        <x:v>46237.939082337965</x:v>
      </x:c>
      <x:c r="K104" s="75" t="str"/>
    </x:row>
    <x:row r="105" ht="36" customHeight="1">
      <x:c r="A105" s="75" t="str">
        <x:v>docs/product/SCENARIO_LATVIA_GTFS_DATA_SLICE_SPEC.md</x:v>
      </x:c>
      <x:c r="B105" s="75" t="str">
        <x:v>Product Categories</x:v>
      </x:c>
      <x:c r="C105" s="75" t="str">
        <x:v>Documentation</x:v>
      </x:c>
      <x:c r="D105" s="75" t="str">
        <x:v>Approved</x:v>
      </x:c>
      <x:c r="E105" s="75" t="str">
        <x:v>1.0</x:v>
      </x:c>
      <x:c r="F105" s="75" t="str">
        <x:v>2026-07-31</x:v>
      </x:c>
      <x:c r="G105" s="75" t="str"/>
      <x:c r="H105" s="75" t="str">
        <x:v>Да</x:v>
      </x:c>
      <x:c r="I105" s="76" t="n">
        <x:v>7567</x:v>
      </x:c>
      <x:c r="J105" s="77" t="n">
        <x:v>46234.03122877315</x:v>
      </x:c>
      <x:c r="K105" s="75" t="str"/>
    </x:row>
    <x:row r="106" ht="36" customHeight="1">
      <x:c r="A106" s="75" t="str">
        <x:v>docs/product/SCENARIO_LATVIA_TRANSIT_SELECTION_ROADMAP.md</x:v>
      </x:c>
      <x:c r="B106" s="75" t="str">
        <x:v>Market Rollout</x:v>
      </x:c>
      <x:c r="C106" s="75" t="str">
        <x:v>Documentation</x:v>
      </x:c>
      <x:c r="D106" s="75" t="str">
        <x:v>Done implementation record.</x:v>
      </x:c>
      <x:c r="E106" s="75" t="str">
        <x:v>v1.5 (2026-08-03).</x:v>
      </x:c>
      <x:c r="F106" s="75" t="str"/>
      <x:c r="G106" s="75" t="str"/>
      <x:c r="H106" s="75" t="str">
        <x:v>Да</x:v>
      </x:c>
      <x:c r="I106" s="76" t="n">
        <x:v>28667</x:v>
      </x:c>
      <x:c r="J106" s="77" t="n">
        <x:v>46237.66587394676</x:v>
      </x:c>
      <x:c r="K106" s="75" t="str"/>
    </x:row>
    <x:row r="107" ht="36" customHeight="1">
      <x:c r="A107" s="75" t="str">
        <x:v>docs/product/SCENARIO_LATVIA_TRANSPORT_SLICE_SPEC.md</x:v>
      </x:c>
      <x:c r="B107" s="75" t="str">
        <x:v>Product Categories</x:v>
      </x:c>
      <x:c r="C107" s="75" t="str">
        <x:v>Documentation</x:v>
      </x:c>
      <x:c r="D107" s="75" t="str">
        <x:v>Approved</x:v>
      </x:c>
      <x:c r="E107" s="75" t="str">
        <x:v>1.0</x:v>
      </x:c>
      <x:c r="F107" s="75" t="str">
        <x:v>2026-07-31</x:v>
      </x:c>
      <x:c r="G107" s="75" t="str"/>
      <x:c r="H107" s="75" t="str">
        <x:v>Да</x:v>
      </x:c>
      <x:c r="I107" s="76" t="n">
        <x:v>13371</x:v>
      </x:c>
      <x:c r="J107" s="77" t="n">
        <x:v>46233.960768206016</x:v>
      </x:c>
      <x:c r="K107" s="75" t="str"/>
    </x:row>
    <x:row r="108" ht="36" customHeight="1">
      <x:c r="A108" s="75" t="str">
        <x:v>docs/product/SCENARIO_OBJECT_INTAKE_SLICE_SPEC.md</x:v>
      </x:c>
      <x:c r="B108" s="75" t="str">
        <x:v>Product Categories</x:v>
      </x:c>
      <x:c r="C108" s="75" t="str">
        <x:v>Documentation</x:v>
      </x:c>
      <x:c r="D108" s="75" t="str">
        <x:v>Done.</x:v>
      </x:c>
      <x:c r="E108" s="75" t="str">
        <x:v>v1.3 (2026-08-03).</x:v>
      </x:c>
      <x:c r="F108" s="75" t="str"/>
      <x:c r="G108" s="75" t="str">
        <x:v>SCN-INTAKE-01A–01D и parent SCN-INTAKE-01 Done.</x:v>
      </x:c>
      <x:c r="H108" s="75" t="str">
        <x:v>Да</x:v>
      </x:c>
      <x:c r="I108" s="76" t="n">
        <x:v>48308</x:v>
      </x:c>
      <x:c r="J108" s="77" t="n">
        <x:v>46237.87163165509</x:v>
      </x:c>
      <x:c r="K108" s="75" t="str"/>
    </x:row>
    <x:row r="109" ht="36" customHeight="1">
      <x:c r="A109" s="75" t="str">
        <x:v>docs/product/SCENARIO_QUICK_PLAN_BOUNDARY_MIGRATION_SLICE_SPEC.md</x:v>
      </x:c>
      <x:c r="B109" s="75" t="str">
        <x:v>Product Categories</x:v>
      </x:c>
      <x:c r="C109" s="75" t="str">
        <x:v>Documentation</x:v>
      </x:c>
      <x:c r="D109" s="75" t="str">
        <x:v>Не указан</x:v>
      </x:c>
      <x:c r="E109" s="75" t="str">
        <x:v>1.0 Approved implementation baseline</x:v>
      </x:c>
      <x:c r="F109" s="75" t="str">
        <x:v>2026-08-10</x:v>
      </x:c>
      <x:c r="G109" s="75" t="str"/>
      <x:c r="H109" s="75" t="str">
        <x:v>Да</x:v>
      </x:c>
      <x:c r="I109" s="76" t="n">
        <x:v>23679</x:v>
      </x:c>
      <x:c r="J109" s="77" t="n">
        <x:v>46244.778047395834</x:v>
      </x:c>
      <x:c r="K109" s="75" t="str"/>
    </x:row>
    <x:row r="110" ht="36" customHeight="1">
      <x:c r="A110" s="75" t="str">
        <x:v>docs/product/SEARCH_FILTERS_TIME_SPEC.md</x:v>
      </x:c>
      <x:c r="B110" s="75" t="str">
        <x:v>Product Categories</x:v>
      </x:c>
      <x:c r="C110" s="75" t="str">
        <x:v>Documentation</x:v>
      </x:c>
      <x:c r="D110" s="75" t="str">
        <x:v>Accepted. Утверждено владельцем продукта 2026-07-17.</x:v>
      </x:c>
      <x:c r="E110" s="75" t="str">
        <x:v>2026-07-17 · v9.1 · Accepted product specification</x:v>
      </x:c>
      <x:c r="F110" s="75" t="str"/>
      <x:c r="G110" s="75" t="str"/>
      <x:c r="H110" s="75" t="str">
        <x:v>Да</x:v>
      </x:c>
      <x:c r="I110" s="76" t="n">
        <x:v>39247</x:v>
      </x:c>
      <x:c r="J110" s="77" t="n">
        <x:v>46220.745788796296</x:v>
      </x:c>
      <x:c r="K110" s="75" t="str"/>
    </x:row>
    <x:row r="111" ht="36" customHeight="1">
      <x:c r="A111" s="75" t="str">
        <x:v>docs/product/VIEWER_PROFILE_FUNCTIONAL_SPEC.md</x:v>
      </x:c>
      <x:c r="B111" s="75" t="str">
        <x:v>Identity Profiles</x:v>
      </x:c>
      <x:c r="C111" s="75" t="str">
        <x:v>Documentation</x:v>
      </x:c>
      <x:c r="D111" s="75" t="str">
        <x:v>Draft for product and architecture review</x:v>
      </x:c>
      <x:c r="E111" s="75" t="str">
        <x:v>1.17 (splits §12's public-facing identity projection out into</x:v>
      </x:c>
      <x:c r="F111" s="75" t="str">
        <x:v>2026-08-16</x:v>
      </x:c>
      <x:c r="G111" s="75" t="str"/>
      <x:c r="H111" s="75" t="str">
        <x:v>Да</x:v>
      </x:c>
      <x:c r="I111" s="76" t="n">
        <x:v>196505</x:v>
      </x:c>
      <x:c r="J111" s="77" t="n">
        <x:v>46250.46999292824</x:v>
      </x:c>
      <x:c r="K111" s="75" t="str"/>
    </x:row>
    <x:row r="112" ht="36" customHeight="1">
      <x:c r="A112" s="75" t="str">
        <x:v>docs/product/VISION.md</x:v>
      </x:c>
      <x:c r="B112" s="75" t="str">
        <x:v>Product Categories</x:v>
      </x:c>
      <x:c r="C112" s="75" t="str">
        <x:v>Documentation</x:v>
      </x:c>
      <x:c r="D112" s="75" t="str">
        <x:v>Не указан</x:v>
      </x:c>
      <x:c r="E112" s="75" t="str">
        <x:v>2026-08-11. Приоритет документа: 4 (после ADR, slice spec,</x:v>
      </x:c>
      <x:c r="F112" s="75" t="str"/>
      <x:c r="G112" s="75" t="str"/>
      <x:c r="H112" s="75" t="str">
        <x:v>Да</x:v>
      </x:c>
      <x:c r="I112" s="76" t="n">
        <x:v>29267</x:v>
      </x:c>
      <x:c r="J112" s="77" t="n">
        <x:v>46245.69811914352</x:v>
      </x:c>
      <x:c r="K112" s="75" t="str"/>
    </x:row>
    <x:row r="113" ht="36" customHeight="1">
      <x:c r="A113" s="75" t="str">
        <x:v>docs/product/VISIT_HISTORY_SLICE_SPEC.md</x:v>
      </x:c>
      <x:c r="B113" s="75" t="str">
        <x:v>Product Categories</x:v>
      </x:c>
      <x:c r="C113" s="75" t="str">
        <x:v>Documentation</x:v>
      </x:c>
      <x:c r="D113" s="75" t="str">
        <x:v>Approved</x:v>
      </x:c>
      <x:c r="E113" s="75" t="str">
        <x:v>1.0</x:v>
      </x:c>
      <x:c r="F113" s="75" t="str">
        <x:v>2026-07-31</x:v>
      </x:c>
      <x:c r="G113" s="75" t="str"/>
      <x:c r="H113" s="75" t="str">
        <x:v>Да</x:v>
      </x:c>
      <x:c r="I113" s="76" t="n">
        <x:v>3368</x:v>
      </x:c>
      <x:c r="J113" s="77" t="n">
        <x:v>46233.978891886574</x:v>
      </x:c>
      <x:c r="K113" s="75" t="str"/>
    </x:row>
    <x:row r="114" ht="36" customHeight="1">
      <x:c r="A114" s="75" t="str">
        <x:v>docs/runbooks/branch-protection-setup.md</x:v>
      </x:c>
      <x:c r="B114" s="75" t="str">
        <x:v>Testing CI</x:v>
      </x:c>
      <x:c r="C114" s="75" t="str">
        <x:v>Runbook</x:v>
      </x:c>
      <x:c r="D114" s="75" t="str">
        <x:v>Не указан</x:v>
      </x:c>
      <x:c r="E114" s="75" t="str"/>
      <x:c r="F114" s="75" t="str"/>
      <x:c r="G114" s="75" t="str"/>
      <x:c r="H114" s="75" t="str">
        <x:v>Да</x:v>
      </x:c>
      <x:c r="I114" s="76" t="n">
        <x:v>809</x:v>
      </x:c>
      <x:c r="J114" s="77" t="n">
        <x:v>46129.00658274306</x:v>
      </x:c>
      <x:c r="K114" s="75" t="str"/>
    </x:row>
    <x:row r="115" ht="36" customHeight="1">
      <x:c r="A115" s="75" t="str">
        <x:v>docs/runbooks/incident.md</x:v>
      </x:c>
      <x:c r="B115" s="75" t="str">
        <x:v>Testing CI</x:v>
      </x:c>
      <x:c r="C115" s="75" t="str">
        <x:v>Runbook</x:v>
      </x:c>
      <x:c r="D115" s="75" t="str">
        <x:v>Не указан</x:v>
      </x:c>
      <x:c r="E115" s="75" t="str"/>
      <x:c r="F115" s="75" t="str"/>
      <x:c r="G115" s="75" t="str"/>
      <x:c r="H115" s="75" t="str">
        <x:v>Да</x:v>
      </x:c>
      <x:c r="I115" s="76" t="n">
        <x:v>1006</x:v>
      </x:c>
      <x:c r="J115" s="77" t="n">
        <x:v>46132.00852928241</x:v>
      </x:c>
      <x:c r="K115" s="75" t="str"/>
    </x:row>
    <x:row r="116" ht="36" customHeight="1">
      <x:c r="A116" s="75" t="str">
        <x:v>docs/runbooks/release.md</x:v>
      </x:c>
      <x:c r="B116" s="75" t="str">
        <x:v>Market Rollout</x:v>
      </x:c>
      <x:c r="C116" s="75" t="str">
        <x:v>Runbook</x:v>
      </x:c>
      <x:c r="D116" s="75" t="str">
        <x:v>Не указан</x:v>
      </x:c>
      <x:c r="E116" s="75" t="str"/>
      <x:c r="F116" s="75" t="str">
        <x:v>- release.md</x:v>
      </x:c>
      <x:c r="G116" s="75" t="str"/>
      <x:c r="H116" s="75" t="str">
        <x:v>Да</x:v>
      </x:c>
      <x:c r="I116" s="76" t="n">
        <x:v>1208</x:v>
      </x:c>
      <x:c r="J116" s="77" t="n">
        <x:v>46132.00828988426</x:v>
      </x:c>
      <x:c r="K116" s="75" t="str"/>
    </x:row>
    <x:row r="117" ht="36" customHeight="1">
      <x:c r="A117" s="75" t="str">
        <x:v>docs/runbooks/rollback.md</x:v>
      </x:c>
      <x:c r="B117" s="75" t="str">
        <x:v>Testing CI</x:v>
      </x:c>
      <x:c r="C117" s="75" t="str">
        <x:v>Runbook</x:v>
      </x:c>
      <x:c r="D117" s="75" t="str">
        <x:v>Не указан</x:v>
      </x:c>
      <x:c r="E117" s="75" t="str">
        <x:v>- sign in / restore session</x:v>
      </x:c>
      <x:c r="F117" s="75" t="str"/>
      <x:c r="G117" s="75" t="str"/>
      <x:c r="H117" s="75" t="str">
        <x:v>Да</x:v>
      </x:c>
      <x:c r="I117" s="76" t="n">
        <x:v>1108</x:v>
      </x:c>
      <x:c r="J117" s="77" t="n">
        <x:v>46132.008413414354</x:v>
      </x:c>
      <x:c r="K117" s="75" t="str"/>
    </x:row>
    <x:row r="118" ht="36" customHeight="1">
      <x:c r="A118" s="75" t="str">
        <x:v>docs/runbooks/secret-leak-response.md</x:v>
      </x:c>
      <x:c r="B118" s="75" t="str">
        <x:v>Security Privacy</x:v>
      </x:c>
      <x:c r="C118" s="75" t="str">
        <x:v>Runbook</x:v>
      </x:c>
      <x:c r="D118" s="75" t="str">
        <x:v>Не указан</x:v>
      </x:c>
      <x:c r="E118" s="75" t="str"/>
      <x:c r="F118" s="75" t="str"/>
      <x:c r="G118" s="75" t="str"/>
      <x:c r="H118" s="75" t="str">
        <x:v>Да</x:v>
      </x:c>
      <x:c r="I118" s="76" t="n">
        <x:v>1143</x:v>
      </x:c>
      <x:c r="J118" s="77" t="n">
        <x:v>46128.99740547454</x:v>
      </x:c>
      <x:c r="K118" s="75" t="str"/>
    </x:row>
    <x:row r="119" ht="36" customHeight="1">
      <x:c r="A119" s="75" t="str">
        <x:v>docs/runbooks/secrets-rotation.md</x:v>
      </x:c>
      <x:c r="B119" s="75" t="str">
        <x:v>Security Privacy</x:v>
      </x:c>
      <x:c r="C119" s="75" t="str">
        <x:v>Runbook</x:v>
      </x:c>
      <x:c r="D119" s="75" t="str">
        <x:v>Не указан</x:v>
      </x:c>
      <x:c r="E119" s="75" t="str"/>
      <x:c r="F119" s="75" t="str"/>
      <x:c r="G119" s="75" t="str"/>
      <x:c r="H119" s="75" t="str">
        <x:v>Да</x:v>
      </x:c>
      <x:c r="I119" s="76" t="n">
        <x:v>1094</x:v>
      </x:c>
      <x:c r="J119" s="77" t="n">
        <x:v>46128.99733019676</x:v>
      </x:c>
      <x:c r="K119" s="75" t="str"/>
    </x:row>
    <x:row r="120" ht="36" customHeight="1">
      <x:c r="A120" s="75" t="str">
        <x:v>docs/код/.gitignore.html</x:v>
      </x:c>
      <x:c r="B120" s="75" t="str">
        <x:v>Documentation</x:v>
      </x:c>
      <x:c r="C120" s="75" t="str">
        <x:v>HTML</x:v>
      </x:c>
      <x:c r="D120" s="75" t="str">
        <x:v>Не указан</x:v>
      </x:c>
      <x:c r="E120" s="75" t="str"/>
      <x:c r="F120" s="75" t="str"/>
      <x:c r="G120" s="75" t="str"/>
      <x:c r="H120" s="75" t="str">
        <x:v>Да</x:v>
      </x:c>
      <x:c r="I120" s="76" t="n">
        <x:v>994</x:v>
      </x:c>
      <x:c r="J120" s="77" t="n">
        <x:v>45991.105000208336</x:v>
      </x:c>
      <x:c r="K120" s="75" t="str"/>
    </x:row>
    <x:row r="121" ht="36" customHeight="1">
      <x:c r="A121" s="75" t="str">
        <x:v>docs/код/build.gradle.kts.html</x:v>
      </x:c>
      <x:c r="B121" s="75" t="str">
        <x:v>Documentation</x:v>
      </x:c>
      <x:c r="C121" s="75" t="str">
        <x:v>HTML</x:v>
      </x:c>
      <x:c r="D121" s="75" t="str">
        <x:v>Не указан</x:v>
      </x:c>
      <x:c r="E121" s="75" t="str"/>
      <x:c r="F121" s="75" t="str"/>
      <x:c r="G121" s="75" t="str"/>
      <x:c r="H121" s="75" t="str">
        <x:v>Да</x:v>
      </x:c>
      <x:c r="I121" s="76" t="n">
        <x:v>1719</x:v>
      </x:c>
      <x:c r="J121" s="77" t="n">
        <x:v>45991.105028969905</x:v>
      </x:c>
      <x:c r="K121" s="75" t="str"/>
    </x:row>
    <x:row r="122" ht="36" customHeight="1">
      <x:c r="A122" s="75" t="str">
        <x:v>docs/код/gradle.properties.html</x:v>
      </x:c>
      <x:c r="B122" s="75" t="str">
        <x:v>Documentation</x:v>
      </x:c>
      <x:c r="C122" s="75" t="str">
        <x:v>HTML</x:v>
      </x:c>
      <x:c r="D122" s="75" t="str">
        <x:v>Не указан</x:v>
      </x:c>
      <x:c r="E122" s="75" t="str"/>
      <x:c r="F122" s="75" t="str"/>
      <x:c r="G122" s="75" t="str"/>
      <x:c r="H122" s="75" t="str">
        <x:v>Да</x:v>
      </x:c>
      <x:c r="I122" s="76" t="n">
        <x:v>2625</x:v>
      </x:c>
      <x:c r="J122" s="77" t="n">
        <x:v>45991.10502914352</x:v>
      </x:c>
      <x:c r="K122" s="75" t="str"/>
    </x:row>
    <x:row r="123" ht="36" customHeight="1">
      <x:c r="A123" s="75" t="str">
        <x:v>docs/код/gradlew.bat.html</x:v>
      </x:c>
      <x:c r="B123" s="75" t="str">
        <x:v>Documentation</x:v>
      </x:c>
      <x:c r="C123" s="75" t="str">
        <x:v>HTML</x:v>
      </x:c>
      <x:c r="D123" s="75" t="str">
        <x:v>Не указан</x:v>
      </x:c>
      <x:c r="E123" s="75" t="str"/>
      <x:c r="F123" s="75" t="str"/>
      <x:c r="G123" s="75" t="str"/>
      <x:c r="H123" s="75" t="str">
        <x:v>Да</x:v>
      </x:c>
      <x:c r="I123" s="76" t="n">
        <x:v>8606</x:v>
      </x:c>
      <x:c r="J123" s="77" t="n">
        <x:v>45991.105003460645</x:v>
      </x:c>
      <x:c r="K123" s="75" t="str"/>
    </x:row>
    <x:row r="124" ht="36" customHeight="1">
      <x:c r="A124" s="75" t="str">
        <x:v>docs/код/gradlew.html</x:v>
      </x:c>
      <x:c r="B124" s="75" t="str">
        <x:v>Documentation</x:v>
      </x:c>
      <x:c r="C124" s="75" t="str">
        <x:v>HTML</x:v>
      </x:c>
      <x:c r="D124" s="75" t="str">
        <x:v>Не указан</x:v>
      </x:c>
      <x:c r="E124" s="75" t="str"/>
      <x:c r="F124" s="75" t="str"/>
      <x:c r="G124" s="75" t="str"/>
      <x:c r="H124" s="75" t="str">
        <x:v>Да</x:v>
      </x:c>
      <x:c r="I124" s="76" t="n">
        <x:v>23764</x:v>
      </x:c>
      <x:c r="J124" s="77" t="n">
        <x:v>45991.104999814816</x:v>
      </x:c>
      <x:c r="K124" s="75" t="str"/>
    </x:row>
    <x:row r="125" ht="36" customHeight="1">
      <x:c r="A125" s="75" t="str">
        <x:v>docs/код/index.html</x:v>
      </x:c>
      <x:c r="B125" s="75" t="str">
        <x:v>Documentation</x:v>
      </x:c>
      <x:c r="C125" s="75" t="str">
        <x:v>HTML</x:v>
      </x:c>
      <x:c r="D125" s="75" t="str">
        <x:v>Не указан</x:v>
      </x:c>
      <x:c r="E125" s="75" t="str"/>
      <x:c r="F125" s="75" t="str"/>
      <x:c r="G125" s="75" t="str"/>
      <x:c r="H125" s="75" t="str">
        <x:v>Да</x:v>
      </x:c>
      <x:c r="I125" s="76" t="n">
        <x:v>475</x:v>
      </x:c>
      <x:c r="J125" s="77" t="n">
        <x:v>45991.10499826389</x:v>
      </x:c>
      <x:c r="K125" s="75" t="str"/>
    </x:row>
    <x:row r="126" ht="36" customHeight="1">
      <x:c r="A126" s="75" t="str">
        <x:v>docs/код/local.properties.html</x:v>
      </x:c>
      <x:c r="B126" s="75" t="str">
        <x:v>Documentation</x:v>
      </x:c>
      <x:c r="C126" s="75" t="str">
        <x:v>HTML</x:v>
      </x:c>
      <x:c r="D126" s="75" t="str">
        <x:v>Не указан</x:v>
      </x:c>
      <x:c r="E126" s="75" t="str"/>
      <x:c r="F126" s="75" t="str"/>
      <x:c r="G126" s="75" t="str"/>
      <x:c r="H126" s="75" t="str">
        <x:v>Да</x:v>
      </x:c>
      <x:c r="I126" s="76" t="n">
        <x:v>1537</x:v>
      </x:c>
      <x:c r="J126" s="77" t="n">
        <x:v>45991.10502909722</x:v>
      </x:c>
      <x:c r="K126" s="75" t="str"/>
    </x:row>
    <x:row r="127" ht="36" customHeight="1">
      <x:c r="A127" s="75" t="str">
        <x:v>docs/код/settings.gradle.kts.html</x:v>
      </x:c>
      <x:c r="B127" s="75" t="str">
        <x:v>Documentation</x:v>
      </x:c>
      <x:c r="C127" s="75" t="str">
        <x:v>HTML</x:v>
      </x:c>
      <x:c r="D127" s="75" t="str">
        <x:v>Не указан</x:v>
      </x:c>
      <x:c r="E127" s="75" t="str"/>
      <x:c r="F127" s="75" t="str"/>
      <x:c r="G127" s="75" t="str"/>
      <x:c r="H127" s="75" t="str">
        <x:v>Да</x:v>
      </x:c>
      <x:c r="I127" s="76" t="n">
        <x:v>2499</x:v>
      </x:c>
      <x:c r="J127" s="77" t="n">
        <x:v>45991.10503413194</x:v>
      </x:c>
      <x:c r="K127" s="75" t="str"/>
    </x:row>
    <x:row r="128" ht="36" customHeight="1">
      <x:c r="A128" s="75" t="str">
        <x:v>docs/отчет клауд/отчет.md</x:v>
      </x:c>
      <x:c r="B128" s="75" t="str">
        <x:v>Documentation</x:v>
      </x:c>
      <x:c r="C128" s="75" t="str">
        <x:v>Documentation</x:v>
      </x:c>
      <x:c r="D128" s="75" t="str">
        <x:v>Не указан</x:v>
      </x:c>
      <x:c r="E128" s="75" t="str"/>
      <x:c r="F128" s="75" t="str"/>
      <x:c r="G128" s="75" t="str"/>
      <x:c r="H128" s="75" t="str">
        <x:v>Да</x:v>
      </x:c>
      <x:c r="I128" s="76" t="n">
        <x:v>81071</x:v>
      </x:c>
      <x:c r="J128" s="77" t="n">
        <x:v>46224.40652010417</x:v>
      </x:c>
      <x:c r="K128" s="75" t="str"/>
    </x:row>
    <x:row r="129" ht="36" customHeight="1">
      <x:c r="A129" s="75" t="str">
        <x:v>docs/отчет клауд/ревью_и_рекомендации.md</x:v>
      </x:c>
      <x:c r="B129" s="75" t="str">
        <x:v>Documentation</x:v>
      </x:c>
      <x:c r="C129" s="75" t="str">
        <x:v>Documentation</x:v>
      </x:c>
      <x:c r="D129" s="75" t="str">
        <x:v>Не указан</x:v>
      </x:c>
      <x:c r="E129" s="75" t="str"/>
      <x:c r="F129" s="75" t="str"/>
      <x:c r="G129" s="75" t="str"/>
      <x:c r="H129" s="75" t="str">
        <x:v>Да</x:v>
      </x:c>
      <x:c r="I129" s="76" t="n">
        <x:v>17359</x:v>
      </x:c>
      <x:c r="J129" s="77" t="n">
        <x:v>46224.41101930555</x:v>
      </x:c>
      <x:c r="K129" s="75" t="str"/>
    </x:row>
    <x:row r="130" ht="36" customHeight="1">
      <x:c r="A130" s="75" t="str">
        <x:v>docs/отчет клауд/финальный_отчет_аудита.md</x:v>
      </x:c>
      <x:c r="B130" s="75" t="str">
        <x:v>Documentation</x:v>
      </x:c>
      <x:c r="C130" s="75" t="str">
        <x:v>Documentation</x:v>
      </x:c>
      <x:c r="D130" s="75" t="str">
        <x:v>Не указан</x:v>
      </x:c>
      <x:c r="E130" s="75" t="str"/>
      <x:c r="F130" s="75" t="str"/>
      <x:c r="G130" s="75" t="str"/>
      <x:c r="H130" s="75" t="str">
        <x:v>Да</x:v>
      </x:c>
      <x:c r="I130" s="76" t="n">
        <x:v>33757</x:v>
      </x:c>
      <x:c r="J130" s="77" t="n">
        <x:v>46224.39457725694</x:v>
      </x:c>
      <x:c r="K130" s="75" t="str"/>
    </x:row>
    <x:row r="131" ht="36" customHeight="1">
      <x:c r="A131" s="75" t="str">
        <x:v>docs/отчет клауд/этап_8_сверка_документации.md</x:v>
      </x:c>
      <x:c r="B131" s="75" t="str">
        <x:v>Documentation</x:v>
      </x:c>
      <x:c r="C131" s="75" t="str">
        <x:v>Documentation</x:v>
      </x:c>
      <x:c r="D131" s="75" t="str">
        <x:v>Route Builder — «специализированный runtime, GPX и live routing НЕ реализованы»; LAUNCH_STATUS RTE-00 = Review, RTE-01…12 = Planned | Полностью совпадает — Route домен физически от</x:v>
      </x:c>
      <x:c r="E131" s="75" t="str"/>
      <x:c r="F131" s="75" t="str"/>
      <x:c r="G131" s="75" t="str"/>
      <x:c r="H131" s="75" t="str">
        <x:v>Да</x:v>
      </x:c>
      <x:c r="I131" s="76" t="n">
        <x:v>20289</x:v>
      </x:c>
      <x:c r="J131" s="77" t="n">
        <x:v>46224.3834425463</x:v>
      </x:c>
      <x:c r="K131" s="75" t="str"/>
    </x:row>
    <x:row r="132" ht="36" customHeight="1">
      <x:c r="A132" s="75" t="str">
        <x:v>melos.yaml</x:v>
      </x:c>
      <x:c r="B132" s="75" t="str">
        <x:v>Documentation</x:v>
      </x:c>
      <x:c r="C132" s="75" t="str">
        <x:v>Configuration</x:v>
      </x:c>
      <x:c r="D132" s="75" t="str">
        <x:v>Не указан</x:v>
      </x:c>
      <x:c r="E132" s="75" t="str"/>
      <x:c r="F132" s="75" t="str"/>
      <x:c r="G132" s="75" t="str"/>
      <x:c r="H132" s="75" t="str">
        <x:v>Да</x:v>
      </x:c>
      <x:c r="I132" s="76" t="n">
        <x:v>173</x:v>
      </x:c>
      <x:c r="J132" s="77" t="n">
        <x:v>46129.00597515046</x:v>
      </x:c>
      <x:c r="K132" s="75" t="str"/>
    </x:row>
    <x:row r="133" ht="36" customHeight="1">
      <x:c r="A133" s="75" t="str">
        <x:v>packages/api_contracts/analysis_options.yaml</x:v>
      </x:c>
      <x:c r="B133" s="75" t="str">
        <x:v>API Contracts</x:v>
      </x:c>
      <x:c r="C133" s="75" t="str">
        <x:v>Configuration</x:v>
      </x:c>
      <x:c r="D133" s="75" t="str">
        <x:v>Не указан</x:v>
      </x:c>
      <x:c r="E133" s="75" t="str"/>
      <x:c r="F133" s="75" t="str"/>
      <x:c r="G133" s="75" t="str"/>
      <x:c r="H133" s="75" t="str">
        <x:v>Да</x:v>
      </x:c>
      <x:c r="I133" s="76" t="n">
        <x:v>89</x:v>
      </x:c>
      <x:c r="J133" s="77" t="n">
        <x:v>46243.54537320602</x:v>
      </x:c>
      <x:c r="K133" s="75" t="str"/>
    </x:row>
    <x:row r="134" ht="36" customHeight="1">
      <x:c r="A134" s="75" t="str">
        <x:v>packages/api_contracts/lib/api_contracts.dart</x:v>
      </x:c>
      <x:c r="B134" s="75" t="str">
        <x:v>API Contracts</x:v>
      </x:c>
      <x:c r="C134" s="75" t="str">
        <x:v>Dart source/test</x:v>
      </x:c>
      <x:c r="D134" s="75" t="str">
        <x:v>Не указан</x:v>
      </x:c>
      <x:c r="E134" s="75" t="str"/>
      <x:c r="F134" s="75" t="str"/>
      <x:c r="G134" s="75" t="str"/>
      <x:c r="H134" s="75" t="str">
        <x:v>Да</x:v>
      </x:c>
      <x:c r="I134" s="76" t="n">
        <x:v>360</x:v>
      </x:c>
      <x:c r="J134" s="77" t="n">
        <x:v>46243.53979084491</x:v>
      </x:c>
      <x:c r="K134" s="75" t="str"/>
    </x:row>
    <x:row r="135" ht="36" customHeight="1">
      <x:c r="A135" s="75" t="str">
        <x:v>packages/api_contracts/lib/src/clients/.gitkeep</x:v>
      </x:c>
      <x:c r="B135" s="75" t="str">
        <x:v>API Contracts</x:v>
      </x:c>
      <x:c r="C135" s="75" t="str">
        <x:v>File</x:v>
      </x:c>
      <x:c r="D135" s="75" t="str">
        <x:v>Не указан</x:v>
      </x:c>
      <x:c r="E135" s="75" t="str"/>
      <x:c r="F135" s="75" t="str"/>
      <x:c r="G135" s="75" t="str"/>
      <x:c r="H135" s="75" t="str">
        <x:v>Да</x:v>
      </x:c>
      <x:c r="I135" s="76" t="n">
        <x:v>0</x:v>
      </x:c>
      <x:c r="J135" s="77" t="n">
        <x:v>46129.0067694213</x:v>
      </x:c>
      <x:c r="K135" s="75" t="str"/>
    </x:row>
    <x:row r="136" ht="36" customHeight="1">
      <x:c r="A136" s="75" t="str">
        <x:v>packages/api_contracts/lib/src/contracts/.gitkeep</x:v>
      </x:c>
      <x:c r="B136" s="75" t="str">
        <x:v>API Contracts</x:v>
      </x:c>
      <x:c r="C136" s="75" t="str">
        <x:v>File</x:v>
      </x:c>
      <x:c r="D136" s="75" t="str">
        <x:v>Не указан</x:v>
      </x:c>
      <x:c r="E136" s="75" t="str"/>
      <x:c r="F136" s="75" t="str"/>
      <x:c r="G136" s="75" t="str"/>
      <x:c r="H136" s="75" t="str">
        <x:v>Да</x:v>
      </x:c>
      <x:c r="I136" s="76" t="n">
        <x:v>0</x:v>
      </x:c>
      <x:c r="J136" s="77" t="n">
        <x:v>46129.006769375</x:v>
      </x:c>
      <x:c r="K136" s="75" t="str"/>
    </x:row>
    <x:row r="137" ht="36" customHeight="1">
      <x:c r="A137" s="75" t="str">
        <x:v>packages/api_contracts/lib/src/contracts/booking/booking_contract.dart</x:v>
      </x:c>
      <x:c r="B137" s="75" t="str">
        <x:v>API Contracts</x:v>
      </x:c>
      <x:c r="C137" s="75" t="str">
        <x:v>Dart source/test</x:v>
      </x:c>
      <x:c r="D137" s="75" t="str">
        <x:v>Не указан</x:v>
      </x:c>
      <x:c r="E137" s="75" t="str"/>
      <x:c r="F137" s="75" t="str"/>
      <x:c r="G137" s="75" t="str"/>
      <x:c r="H137" s="75" t="str">
        <x:v>Да</x:v>
      </x:c>
      <x:c r="I137" s="76" t="n">
        <x:v>6190</x:v>
      </x:c>
      <x:c r="J137" s="77" t="n">
        <x:v>46243.539804768516</x:v>
      </x:c>
      <x:c r="K137" s="75" t="str"/>
    </x:row>
    <x:row r="138" ht="36" customHeight="1">
      <x:c r="A138" s="75" t="str">
        <x:v>packages/api_contracts/lib/src/dto/request/.gitkeep</x:v>
      </x:c>
      <x:c r="B138" s="75" t="str">
        <x:v>API Contracts</x:v>
      </x:c>
      <x:c r="C138" s="75" t="str">
        <x:v>File</x:v>
      </x:c>
      <x:c r="D138" s="75" t="str">
        <x:v>Не указан</x:v>
      </x:c>
      <x:c r="E138" s="75" t="str"/>
      <x:c r="F138" s="75" t="str"/>
      <x:c r="G138" s="75" t="str"/>
      <x:c r="H138" s="75" t="str">
        <x:v>Да</x:v>
      </x:c>
      <x:c r="I138" s="76" t="n">
        <x:v>0</x:v>
      </x:c>
      <x:c r="J138" s="77" t="n">
        <x:v>46129.00676939815</x:v>
      </x:c>
      <x:c r="K138" s="75" t="str"/>
    </x:row>
    <x:row r="139" ht="36" customHeight="1">
      <x:c r="A139" s="75" t="str">
        <x:v>packages/api_contracts/lib/src/dto/request/booking_command_dto.dart</x:v>
      </x:c>
      <x:c r="B139" s="75" t="str">
        <x:v>API Contracts</x:v>
      </x:c>
      <x:c r="C139" s="75" t="str">
        <x:v>Dart source/test</x:v>
      </x:c>
      <x:c r="D139" s="75" t="str">
        <x:v>Не указан</x:v>
      </x:c>
      <x:c r="E139" s="75" t="str">
        <x:v>$schemaVersion',</x:v>
      </x:c>
      <x:c r="F139" s="75" t="str"/>
      <x:c r="G139" s="75" t="str"/>
      <x:c r="H139" s="75" t="str">
        <x:v>Да</x:v>
      </x:c>
      <x:c r="I139" s="76" t="n">
        <x:v>6955</x:v>
      </x:c>
      <x:c r="J139" s="77" t="n">
        <x:v>46243.5452505787</x:v>
      </x:c>
      <x:c r="K139" s="75" t="str"/>
    </x:row>
    <x:row r="140" ht="36" customHeight="1">
      <x:c r="A140" s="75" t="str">
        <x:v>packages/api_contracts/lib/src/dto/response/.gitkeep</x:v>
      </x:c>
      <x:c r="B140" s="75" t="str">
        <x:v>API Contracts</x:v>
      </x:c>
      <x:c r="C140" s="75" t="str">
        <x:v>File</x:v>
      </x:c>
      <x:c r="D140" s="75" t="str">
        <x:v>Не указан</x:v>
      </x:c>
      <x:c r="E140" s="75" t="str"/>
      <x:c r="F140" s="75" t="str"/>
      <x:c r="G140" s="75" t="str"/>
      <x:c r="H140" s="75" t="str">
        <x:v>Да</x:v>
      </x:c>
      <x:c r="I140" s="76" t="n">
        <x:v>0</x:v>
      </x:c>
      <x:c r="J140" s="77" t="n">
        <x:v>46129.00676940972</x:v>
      </x:c>
      <x:c r="K140" s="75" t="str"/>
    </x:row>
    <x:row r="141" ht="36" customHeight="1">
      <x:c r="A141" s="75" t="str">
        <x:v>packages/api_contracts/lib/src/dto/response/booking_dto.dart</x:v>
      </x:c>
      <x:c r="B141" s="75" t="str">
        <x:v>API Contracts</x:v>
      </x:c>
      <x:c r="C141" s="75" t="str">
        <x:v>Dart source/test</x:v>
      </x:c>
      <x:c r="D141" s="75" t="str">
        <x:v>Не указан</x:v>
      </x:c>
      <x:c r="E141" s="75" t="str">
        <x:v>$schemaVersion',</x:v>
      </x:c>
      <x:c r="F141" s="75" t="str"/>
      <x:c r="G141" s="75" t="str"/>
      <x:c r="H141" s="75" t="str">
        <x:v>Да</x:v>
      </x:c>
      <x:c r="I141" s="76" t="n">
        <x:v>7265</x:v>
      </x:c>
      <x:c r="J141" s="77" t="n">
        <x:v>46243.54525101852</x:v>
      </x:c>
      <x:c r="K141" s="75" t="str"/>
    </x:row>
    <x:row r="142" ht="36" customHeight="1">
      <x:c r="A142" s="75" t="str">
        <x:v>packages/api_contracts/lib/src/dto/response/booking_error_dto.dart</x:v>
      </x:c>
      <x:c r="B142" s="75" t="str">
        <x:v>API Contracts</x:v>
      </x:c>
      <x:c r="C142" s="75" t="str">
        <x:v>Dart source/test</x:v>
      </x:c>
      <x:c r="D142" s="75" t="str">
        <x:v>Не указан</x:v>
      </x:c>
      <x:c r="E142" s="75" t="str">
        <x:v>_requireSchemaVersion(json['schemaVersion']),</x:v>
      </x:c>
      <x:c r="F142" s="75" t="str"/>
      <x:c r="G142" s="75" t="str"/>
      <x:c r="H142" s="75" t="str">
        <x:v>Да</x:v>
      </x:c>
      <x:c r="I142" s="76" t="n">
        <x:v>3266</x:v>
      </x:c>
      <x:c r="J142" s="77" t="n">
        <x:v>46243.54525121528</x:v>
      </x:c>
      <x:c r="K142" s="75" t="str"/>
    </x:row>
    <x:row r="143" ht="36" customHeight="1">
      <x:c r="A143" s="75" t="str">
        <x:v>packages/api_contracts/lib/src/dto/response/booking_hold_dto.dart</x:v>
      </x:c>
      <x:c r="B143" s="75" t="str">
        <x:v>API Contracts</x:v>
      </x:c>
      <x:c r="C143" s="75" t="str">
        <x:v>Dart source/test</x:v>
      </x:c>
      <x:c r="D143" s="75" t="str">
        <x:v>Не указан</x:v>
      </x:c>
      <x:c r="E143" s="75" t="str">
        <x:v>_requireSchemaVersion(json['schemaVersion']),</x:v>
      </x:c>
      <x:c r="F143" s="75" t="str"/>
      <x:c r="G143" s="75" t="str"/>
      <x:c r="H143" s="75" t="str">
        <x:v>Да</x:v>
      </x:c>
      <x:c r="I143" s="76" t="n">
        <x:v>3614</x:v>
      </x:c>
      <x:c r="J143" s="77" t="n">
        <x:v>46243.54525138889</x:v>
      </x:c>
      <x:c r="K143" s="75" t="str"/>
    </x:row>
    <x:row r="144" ht="36" customHeight="1">
      <x:c r="A144" s="75" t="str">
        <x:v>packages/api_contracts/lib/src/dto/response/booking_policy_dto.dart</x:v>
      </x:c>
      <x:c r="B144" s="75" t="str">
        <x:v>API Contracts</x:v>
      </x:c>
      <x:c r="C144" s="75" t="str">
        <x:v>Dart source/test</x:v>
      </x:c>
      <x:c r="D144" s="75" t="str">
        <x:v>Не указан</x:v>
      </x:c>
      <x:c r="E144" s="75" t="str">
        <x:v>requireNonNegativeInt(</x:v>
      </x:c>
      <x:c r="F144" s="75" t="str"/>
      <x:c r="G144" s="75" t="str"/>
      <x:c r="H144" s="75" t="str">
        <x:v>Да</x:v>
      </x:c>
      <x:c r="I144" s="76" t="n">
        <x:v>2423</x:v>
      </x:c>
      <x:c r="J144" s="77" t="n">
        <x:v>46243.5452515162</x:v>
      </x:c>
      <x:c r="K144" s="75" t="str"/>
    </x:row>
    <x:row r="145" ht="36" customHeight="1">
      <x:c r="A145" s="75" t="str">
        <x:v>packages/api_contracts/lib/src/dto/response/booking_result_dto.dart</x:v>
      </x:c>
      <x:c r="B145" s="75" t="str">
        <x:v>API Contracts</x:v>
      </x:c>
      <x:c r="C145" s="75" t="str">
        <x:v>Dart source/test</x:v>
      </x:c>
      <x:c r="D145" s="75" t="str">
        <x:v>Не указан</x:v>
      </x:c>
      <x:c r="E145" s="75" t="str">
        <x:v>$schemaVersion',</x:v>
      </x:c>
      <x:c r="F145" s="75" t="str"/>
      <x:c r="G145" s="75" t="str"/>
      <x:c r="H145" s="75" t="str">
        <x:v>Да</x:v>
      </x:c>
      <x:c r="I145" s="76" t="n">
        <x:v>5084</x:v>
      </x:c>
      <x:c r="J145" s="77" t="n">
        <x:v>46243.54525195602</x:v>
      </x:c>
      <x:c r="K145" s="75" t="str"/>
    </x:row>
    <x:row r="146" ht="36" customHeight="1">
      <x:c r="A146" s="75" t="str">
        <x:v>packages/api_contracts/lib/src/generated/.gitkeep</x:v>
      </x:c>
      <x:c r="B146" s="75" t="str">
        <x:v>API Contracts</x:v>
      </x:c>
      <x:c r="C146" s="75" t="str">
        <x:v>File</x:v>
      </x:c>
      <x:c r="D146" s="75" t="str">
        <x:v>Не указан</x:v>
      </x:c>
      <x:c r="E146" s="75" t="str"/>
      <x:c r="F146" s="75" t="str"/>
      <x:c r="G146" s="75" t="str"/>
      <x:c r="H146" s="75" t="str">
        <x:v>Да</x:v>
      </x:c>
      <x:c r="I146" s="76" t="n">
        <x:v>0</x:v>
      </x:c>
      <x:c r="J146" s="77" t="n">
        <x:v>46129.00676950232</x:v>
      </x:c>
      <x:c r="K146" s="75" t="str"/>
    </x:row>
    <x:row r="147" ht="36" customHeight="1">
      <x:c r="A147" s="75" t="str">
        <x:v>packages/api_contracts/lib/src/serializers/.gitkeep</x:v>
      </x:c>
      <x:c r="B147" s="75" t="str">
        <x:v>API Contracts</x:v>
      </x:c>
      <x:c r="C147" s="75" t="str">
        <x:v>File</x:v>
      </x:c>
      <x:c r="D147" s="75" t="str">
        <x:v>Не указан</x:v>
      </x:c>
      <x:c r="E147" s="75" t="str"/>
      <x:c r="F147" s="75" t="str"/>
      <x:c r="G147" s="75" t="str"/>
      <x:c r="H147" s="75" t="str">
        <x:v>Да</x:v>
      </x:c>
      <x:c r="I147" s="76" t="n">
        <x:v>0</x:v>
      </x:c>
      <x:c r="J147" s="77" t="n">
        <x:v>46129.006769479165</x:v>
      </x:c>
      <x:c r="K147" s="75" t="str"/>
    </x:row>
    <x:row r="148" ht="36" customHeight="1">
      <x:c r="A148" s="75" t="str">
        <x:v>packages/api_contracts/pubspec.lock</x:v>
      </x:c>
      <x:c r="B148" s="75" t="str">
        <x:v>API Contracts</x:v>
      </x:c>
      <x:c r="C148" s="75" t="str">
        <x:v>LOCK</x:v>
      </x:c>
      <x:c r="D148" s="75" t="str">
        <x:v>Не указан</x:v>
      </x:c>
      <x:c r="E148" s="75" t="str"/>
      <x:c r="F148" s="75" t="str"/>
      <x:c r="G148" s="75" t="str"/>
      <x:c r="H148" s="75" t="str">
        <x:v>Да</x:v>
      </x:c>
      <x:c r="I148" s="76" t="n">
        <x:v>11166</x:v>
      </x:c>
      <x:c r="J148" s="77" t="n">
        <x:v>46243.545016550925</x:v>
      </x:c>
      <x:c r="K148" s="75" t="str"/>
    </x:row>
    <x:row r="149" ht="36" customHeight="1">
      <x:c r="A149" s="75" t="str">
        <x:v>packages/api_contracts/pubspec.yaml</x:v>
      </x:c>
      <x:c r="B149" s="75" t="str">
        <x:v>API Contracts</x:v>
      </x:c>
      <x:c r="C149" s="75" t="str">
        <x:v>Configuration</x:v>
      </x:c>
      <x:c r="D149" s="75" t="str">
        <x:v>Не указан</x:v>
      </x:c>
      <x:c r="E149" s="75" t="str">
        <x:v>0.2.0</x:v>
      </x:c>
      <x:c r="F149" s="75" t="str"/>
      <x:c r="G149" s="75" t="str"/>
      <x:c r="H149" s="75" t="str">
        <x:v>Да</x:v>
      </x:c>
      <x:c r="I149" s="76" t="n">
        <x:v>238</x:v>
      </x:c>
      <x:c r="J149" s="77" t="n">
        <x:v>46243.53978392361</x:v>
      </x:c>
      <x:c r="K149" s="75" t="str"/>
    </x:row>
    <x:row r="150" ht="36" customHeight="1">
      <x:c r="A150" s="75" t="str">
        <x:v>packages/api_contracts/schema/booking/v1/booking.schema.json</x:v>
      </x:c>
      <x:c r="B150" s="75" t="str">
        <x:v>API Contracts</x:v>
      </x:c>
      <x:c r="C150" s="75" t="str">
        <x:v>JSON Schema / fixture</x:v>
      </x:c>
      <x:c r="D150" s="75" t="str">
        <x:v>Не указан</x:v>
      </x:c>
      <x:c r="E150" s="75" t="str"/>
      <x:c r="F150" s="75" t="str"/>
      <x:c r="G150" s="75" t="str"/>
      <x:c r="H150" s="75" t="str">
        <x:v>Да</x:v>
      </x:c>
      <x:c r="I150" s="76" t="n">
        <x:v>2197</x:v>
      </x:c>
      <x:c r="J150" s="77" t="n">
        <x:v>46243.54300262732</x:v>
      </x:c>
      <x:c r="K150" s="75" t="str"/>
    </x:row>
    <x:row r="151" ht="36" customHeight="1">
      <x:c r="A151" s="75" t="str">
        <x:v>packages/api_contracts/schema/booking/v1/booking_command.schema.json</x:v>
      </x:c>
      <x:c r="B151" s="75" t="str">
        <x:v>API Contracts</x:v>
      </x:c>
      <x:c r="C151" s="75" t="str">
        <x:v>JSON Schema / fixture</x:v>
      </x:c>
      <x:c r="D151" s="75" t="str">
        <x:v>Не указан</x:v>
      </x:c>
      <x:c r="E151" s="75" t="str"/>
      <x:c r="F151" s="75" t="str"/>
      <x:c r="G151" s="75" t="str"/>
      <x:c r="H151" s="75" t="str">
        <x:v>Да</x:v>
      </x:c>
      <x:c r="I151" s="76" t="n">
        <x:v>1942</x:v>
      </x:c>
      <x:c r="J151" s="77" t="n">
        <x:v>46243.543178865744</x:v>
      </x:c>
      <x:c r="K151" s="75" t="str"/>
    </x:row>
    <x:row r="152" ht="36" customHeight="1">
      <x:c r="A152" s="75" t="str">
        <x:v>packages/api_contracts/schema/booking/v1/booking_error.schema.json</x:v>
      </x:c>
      <x:c r="B152" s="75" t="str">
        <x:v>API Contracts</x:v>
      </x:c>
      <x:c r="C152" s="75" t="str">
        <x:v>JSON Schema / fixture</x:v>
      </x:c>
      <x:c r="D152" s="75" t="str">
        <x:v>Не указан</x:v>
      </x:c>
      <x:c r="E152" s="75" t="str"/>
      <x:c r="F152" s="75" t="str"/>
      <x:c r="G152" s="75" t="str"/>
      <x:c r="H152" s="75" t="str">
        <x:v>Да</x:v>
      </x:c>
      <x:c r="I152" s="76" t="n">
        <x:v>1691</x:v>
      </x:c>
      <x:c r="J152" s="77" t="n">
        <x:v>46243.54304777778</x:v>
      </x:c>
      <x:c r="K152" s="75" t="str"/>
    </x:row>
    <x:row r="153" ht="36" customHeight="1">
      <x:c r="A153" s="75" t="str">
        <x:v>packages/api_contracts/schema/booking/v1/booking_hold.schema.json</x:v>
      </x:c>
      <x:c r="B153" s="75" t="str">
        <x:v>API Contracts</x:v>
      </x:c>
      <x:c r="C153" s="75" t="str">
        <x:v>JSON Schema / fixture</x:v>
      </x:c>
      <x:c r="D153" s="75" t="str">
        <x:v>Не указан</x:v>
      </x:c>
      <x:c r="E153" s="75" t="str"/>
      <x:c r="F153" s="75" t="str"/>
      <x:c r="G153" s="75" t="str"/>
      <x:c r="H153" s="75" t="str">
        <x:v>Да</x:v>
      </x:c>
      <x:c r="I153" s="76" t="n">
        <x:v>1385</x:v>
      </x:c>
      <x:c r="J153" s="77" t="n">
        <x:v>46243.543011469905</x:v>
      </x:c>
      <x:c r="K153" s="75" t="str"/>
    </x:row>
    <x:row r="154" ht="36" customHeight="1">
      <x:c r="A154" s="75" t="str">
        <x:v>packages/api_contracts/schema/booking/v1/booking_policy.schema.json</x:v>
      </x:c>
      <x:c r="B154" s="75" t="str">
        <x:v>API Contracts</x:v>
      </x:c>
      <x:c r="C154" s="75" t="str">
        <x:v>JSON Schema / fixture</x:v>
      </x:c>
      <x:c r="D154" s="75" t="str">
        <x:v>Не указан</x:v>
      </x:c>
      <x:c r="E154" s="75" t="str"/>
      <x:c r="F154" s="75" t="str"/>
      <x:c r="G154" s="75" t="str"/>
      <x:c r="H154" s="75" t="str">
        <x:v>Да</x:v>
      </x:c>
      <x:c r="I154" s="76" t="n">
        <x:v>755</x:v>
      </x:c>
      <x:c r="J154" s="77" t="n">
        <x:v>46243.543022060185</x:v>
      </x:c>
      <x:c r="K154" s="75" t="str"/>
    </x:row>
    <x:row r="155" ht="36" customHeight="1">
      <x:c r="A155" s="75" t="str">
        <x:v>packages/api_contracts/schema/booking/v1/booking_result.schema.json</x:v>
      </x:c>
      <x:c r="B155" s="75" t="str">
        <x:v>API Contracts</x:v>
      </x:c>
      <x:c r="C155" s="75" t="str">
        <x:v>JSON Schema / fixture</x:v>
      </x:c>
      <x:c r="D155" s="75" t="str">
        <x:v>Не указан</x:v>
      </x:c>
      <x:c r="E155" s="75" t="str"/>
      <x:c r="F155" s="75" t="str"/>
      <x:c r="G155" s="75" t="str"/>
      <x:c r="H155" s="75" t="str">
        <x:v>Да</x:v>
      </x:c>
      <x:c r="I155" s="76" t="n">
        <x:v>1014</x:v>
      </x:c>
      <x:c r="J155" s="77" t="n">
        <x:v>46243.54307215278</x:v>
      </x:c>
      <x:c r="K155" s="75" t="str"/>
    </x:row>
    <x:row r="156" ht="36" customHeight="1">
      <x:c r="A156" s="75" t="str">
        <x:v>packages/api_contracts/schema/booking/v1/common.schema.json</x:v>
      </x:c>
      <x:c r="B156" s="75" t="str">
        <x:v>API Contracts</x:v>
      </x:c>
      <x:c r="C156" s="75" t="str">
        <x:v>JSON Schema / fixture</x:v>
      </x:c>
      <x:c r="D156" s="75" t="str">
        <x:v>Не указан</x:v>
      </x:c>
      <x:c r="E156" s="75" t="str"/>
      <x:c r="F156" s="75" t="str"/>
      <x:c r="G156" s="75" t="str"/>
      <x:c r="H156" s="75" t="str">
        <x:v>Да</x:v>
      </x:c>
      <x:c r="I156" s="76" t="n">
        <x:v>1724</x:v>
      </x:c>
      <x:c r="J156" s="77" t="n">
        <x:v>46243.54299527778</x:v>
      </x:c>
      <x:c r="K156" s="75" t="str"/>
    </x:row>
    <x:row r="157" ht="36" customHeight="1">
      <x:c r="A157" s="75" t="str">
        <x:v>packages/api_contracts/schema/booking/v1/fixtures/forward.json</x:v>
      </x:c>
      <x:c r="B157" s="75" t="str">
        <x:v>API Contracts</x:v>
      </x:c>
      <x:c r="C157" s="75" t="str">
        <x:v>JSON Schema / fixture</x:v>
      </x:c>
      <x:c r="D157" s="75" t="str">
        <x:v>Не указан</x:v>
      </x:c>
      <x:c r="E157" s="75" t="str"/>
      <x:c r="F157" s="75" t="str"/>
      <x:c r="G157" s="75" t="str"/>
      <x:c r="H157" s="75" t="str">
        <x:v>Да</x:v>
      </x:c>
      <x:c r="I157" s="76" t="n">
        <x:v>1473</x:v>
      </x:c>
      <x:c r="J157" s="77" t="n">
        <x:v>46243.544029386576</x:v>
      </x:c>
      <x:c r="K157" s="75" t="str"/>
    </x:row>
    <x:row r="158" ht="36" customHeight="1">
      <x:c r="A158" s="75" t="str">
        <x:v>packages/api_contracts/schema/booking/v1/fixtures/invalid.json</x:v>
      </x:c>
      <x:c r="B158" s="75" t="str">
        <x:v>API Contracts</x:v>
      </x:c>
      <x:c r="C158" s="75" t="str">
        <x:v>JSON Schema / fixture</x:v>
      </x:c>
      <x:c r="D158" s="75" t="str">
        <x:v>Не указан</x:v>
      </x:c>
      <x:c r="E158" s="75" t="str"/>
      <x:c r="F158" s="75" t="str"/>
      <x:c r="G158" s="75" t="str"/>
      <x:c r="H158" s="75" t="str">
        <x:v>Да</x:v>
      </x:c>
      <x:c r="I158" s="76" t="n">
        <x:v>2618</x:v>
      </x:c>
      <x:c r="J158" s="77" t="n">
        <x:v>46243.544020625</x:v>
      </x:c>
      <x:c r="K158" s="75" t="str"/>
    </x:row>
    <x:row r="159" ht="36" customHeight="1">
      <x:c r="A159" s="75" t="str">
        <x:v>packages/api_contracts/schema/booking/v1/fixtures/valid.json</x:v>
      </x:c>
      <x:c r="B159" s="75" t="str">
        <x:v>API Contracts</x:v>
      </x:c>
      <x:c r="C159" s="75" t="str">
        <x:v>JSON Schema / fixture</x:v>
      </x:c>
      <x:c r="D159" s="75" t="str">
        <x:v>Не указан</x:v>
      </x:c>
      <x:c r="E159" s="75" t="str"/>
      <x:c r="F159" s="75" t="str"/>
      <x:c r="G159" s="75" t="str"/>
      <x:c r="H159" s="75" t="str">
        <x:v>Да</x:v>
      </x:c>
      <x:c r="I159" s="76" t="n">
        <x:v>4940</x:v>
      </x:c>
      <x:c r="J159" s="77" t="n">
        <x:v>46243.544013356484</x:v>
      </x:c>
      <x:c r="K159" s="75" t="str"/>
    </x:row>
    <x:row r="160" ht="36" customHeight="1">
      <x:c r="A160" s="75" t="str">
        <x:v>packages/api_contracts/test/.gitkeep</x:v>
      </x:c>
      <x:c r="B160" s="75" t="str">
        <x:v>API Contracts</x:v>
      </x:c>
      <x:c r="C160" s="75" t="str">
        <x:v>File</x:v>
      </x:c>
      <x:c r="D160" s="75" t="str">
        <x:v>Не указан</x:v>
      </x:c>
      <x:c r="E160" s="75" t="str"/>
      <x:c r="F160" s="75" t="str"/>
      <x:c r="G160" s="75" t="str"/>
      <x:c r="H160" s="75" t="str">
        <x:v>Да</x:v>
      </x:c>
      <x:c r="I160" s="76" t="n">
        <x:v>0</x:v>
      </x:c>
      <x:c r="J160" s="77" t="n">
        <x:v>46129.006769513886</x:v>
      </x:c>
      <x:c r="K160" s="75" t="str"/>
    </x:row>
    <x:row r="161" ht="36" customHeight="1">
      <x:c r="A161" s="75" t="str">
        <x:v>packages/api_contracts/test/booking_contract_test.dart</x:v>
      </x:c>
      <x:c r="B161" s="75" t="str">
        <x:v>API Contracts</x:v>
      </x:c>
      <x:c r="C161" s="75" t="str">
        <x:v>Dart source/test</x:v>
      </x:c>
      <x:c r="D161" s="75" t="str">
        <x:v>Не указан</x:v>
      </x:c>
      <x:c r="E161" s="75" t="str">
        <x:v>1,</x:v>
      </x:c>
      <x:c r="F161" s="75" t="str"/>
      <x:c r="G161" s="75" t="str"/>
      <x:c r="H161" s="75" t="str">
        <x:v>Да</x:v>
      </x:c>
      <x:c r="I161" s="76" t="n">
        <x:v>4075</x:v>
      </x:c>
      <x:c r="J161" s="77" t="n">
        <x:v>46243.54525228009</x:v>
      </x:c>
      <x:c r="K161" s="75" t="str"/>
    </x:row>
    <x:row r="162" ht="36" customHeight="1">
      <x:c r="A162" s="75" t="str">
        <x:v>packages/api_contracts/test/booking_fixture_test.dart</x:v>
      </x:c>
      <x:c r="B162" s="75" t="str">
        <x:v>API Contracts</x:v>
      </x:c>
      <x:c r="C162" s="75" t="str">
        <x:v>Dart source/test</x:v>
      </x:c>
      <x:c r="D162" s="75" t="str">
        <x:v>Не указан</x:v>
      </x:c>
      <x:c r="E162" s="75" t="str"/>
      <x:c r="F162" s="75" t="str"/>
      <x:c r="G162" s="75" t="str"/>
      <x:c r="H162" s="75" t="str">
        <x:v>Да</x:v>
      </x:c>
      <x:c r="I162" s="76" t="n">
        <x:v>2568</x:v>
      </x:c>
      <x:c r="J162" s="77" t="n">
        <x:v>46243.54525258102</x:v>
      </x:c>
      <x:c r="K162" s="75" t="str"/>
    </x:row>
    <x:row r="163" ht="36" customHeight="1">
      <x:c r="A163" s="75" t="str">
        <x:v>packages/api_contracts/test/support/booking_schema_fixture_validator.dart</x:v>
      </x:c>
      <x:c r="B163" s="75" t="str">
        <x:v>API Contracts</x:v>
      </x:c>
      <x:c r="C163" s="75" t="str">
        <x:v>Dart source/test</x:v>
      </x:c>
      <x:c r="D163" s="75" t="str">
        <x:v>Не указан</x:v>
      </x:c>
      <x:c r="E163" s="75" t="str"/>
      <x:c r="F163" s="75" t="str"/>
      <x:c r="G163" s="75" t="str"/>
      <x:c r="H163" s="75" t="str">
        <x:v>Да</x:v>
      </x:c>
      <x:c r="I163" s="76" t="n">
        <x:v>2444</x:v>
      </x:c>
      <x:c r="J163" s="77" t="n">
        <x:v>46243.54589460648</x:v>
      </x:c>
      <x:c r="K163" s="75" t="str"/>
    </x:row>
    <x:row r="164" ht="36" customHeight="1">
      <x:c r="A164" s="75" t="str">
        <x:v>tools/scripts/boundaries-allowlist.txt</x:v>
      </x:c>
      <x:c r="B164" s="75" t="str">
        <x:v>Testing CI</x:v>
      </x:c>
      <x:c r="C164" s="75" t="str">
        <x:v>Tooling</x:v>
      </x:c>
      <x:c r="D164" s="75" t="str">
        <x:v>Не указан</x:v>
      </x:c>
      <x:c r="E164" s="75" t="str"/>
      <x:c r="F164" s="75" t="str"/>
      <x:c r="G164" s="75" t="str"/>
      <x:c r="H164" s="75" t="str">
        <x:v>Да</x:v>
      </x:c>
      <x:c r="I164" s="76" t="n">
        <x:v>9574</x:v>
      </x:c>
      <x:c r="J164" s="77" t="n">
        <x:v>46220.741779675925</x:v>
      </x:c>
      <x:c r="K164" s="75" t="str"/>
    </x:row>
    <x:row r="165" ht="36" customHeight="1">
      <x:c r="A165" s="75" t="str">
        <x:v>tools/scripts/check-boundaries.ps1</x:v>
      </x:c>
      <x:c r="B165" s="75" t="str">
        <x:v>Testing CI</x:v>
      </x:c>
      <x:c r="C165" s="75" t="str">
        <x:v>Tooling</x:v>
      </x:c>
      <x:c r="D165" s="75" t="str">
        <x:v>Не указан</x:v>
      </x:c>
      <x:c r="E165" s="75" t="str"/>
      <x:c r="F165" s="75" t="str"/>
      <x:c r="G165" s="75" t="str"/>
      <x:c r="H165" s="75" t="str">
        <x:v>Да</x:v>
      </x:c>
      <x:c r="I165" s="76" t="n">
        <x:v>4889</x:v>
      </x:c>
      <x:c r="J165" s="77" t="n">
        <x:v>46132.0079578588</x:v>
      </x:c>
      <x:c r="K165" s="75" t="str"/>
    </x:row>
    <x:row r="166" ht="36" customHeight="1">
      <x:c r="A166" s="75" t="str">
        <x:v>tools/scripts/route-investor-demo.ps1</x:v>
      </x:c>
      <x:c r="B166" s="75" t="str">
        <x:v>Testing CI</x:v>
      </x:c>
      <x:c r="C166" s="75" t="str">
        <x:v>Tooling</x:v>
      </x:c>
      <x:c r="D166" s="75" t="str">
        <x:v>Не указан</x:v>
      </x:c>
      <x:c r="E166" s="75" t="str"/>
      <x:c r="F166" s="75" t="str"/>
      <x:c r="G166" s="75" t="str"/>
      <x:c r="H166" s="75" t="str">
        <x:v>Да</x:v>
      </x:c>
      <x:c r="I166" s="76" t="n">
        <x:v>1813</x:v>
      </x:c>
      <x:c r="J166" s="77" t="n">
        <x:v>46228.03239929398</x:v>
      </x:c>
      <x:c r="K166" s="75" t="str"/>
    </x:row>
    <x:row r="167" ht="36" customHeight="1">
      <x:c r="A167" s="75" t="str">
        <x:v>tools/scripts/setup-branch-protection.ps1</x:v>
      </x:c>
      <x:c r="B167" s="75" t="str">
        <x:v>Testing CI</x:v>
      </x:c>
      <x:c r="C167" s="75" t="str">
        <x:v>Tooling</x:v>
      </x:c>
      <x:c r="D167" s="75" t="str">
        <x:v>Не указан</x:v>
      </x:c>
      <x:c r="E167" s="75" t="str"/>
      <x:c r="F167" s="75" t="str"/>
      <x:c r="G167" s="75" t="str"/>
      <x:c r="H167" s="75" t="str">
        <x:v>Да</x:v>
      </x:c>
      <x:c r="I167" s="76" t="n">
        <x:v>1362</x:v>
      </x:c>
      <x:c r="J167" s="77" t="n">
        <x:v>46129.00651619213</x:v>
      </x:c>
      <x:c r="K167" s="75" t="str"/>
    </x:row>
    <x:row r="168" ht="36" customHeight="1">
      <x:c r="A168" s="75" t="str">
        <x:v>Структура будущего ТЗ Recharge MVP.docx</x:v>
      </x:c>
      <x:c r="B168" s="75" t="str">
        <x:v>Documentation</x:v>
      </x:c>
      <x:c r="C168" s="75" t="str">
        <x:v>Reference DOCX</x:v>
      </x:c>
      <x:c r="D168" s="75" t="str">
        <x:v>Не указан</x:v>
      </x:c>
      <x:c r="E168" s="75" t="str"/>
      <x:c r="F168" s="75" t="str"/>
      <x:c r="G168" s="75" t="str"/>
      <x:c r="H168" s="75" t="str">
        <x:v>Да</x:v>
      </x:c>
      <x:c r="I168" s="76" t="n">
        <x:v>23818</x:v>
      </x:c>
      <x:c r="J168" s="77" t="n">
        <x:v>46184.42444449074</x:v>
      </x:c>
      <x:c r="K168" s="75" t="str"/>
    </x:row>
    <x:row r="169" ht="36" customHeight="1">
      <x:c r="A169" s="75" t="str">
        <x:v>ТЗ по структуре.docx</x:v>
      </x:c>
      <x:c r="B169" s="75" t="str">
        <x:v>Documentation</x:v>
      </x:c>
      <x:c r="C169" s="75" t="str">
        <x:v>Reference DOCX</x:v>
      </x:c>
      <x:c r="D169" s="75" t="str">
        <x:v>Не указан</x:v>
      </x:c>
      <x:c r="E169" s="75" t="str"/>
      <x:c r="F169" s="75" t="str"/>
      <x:c r="G169" s="75" t="str"/>
      <x:c r="H169" s="75" t="str">
        <x:v>Да</x:v>
      </x:c>
      <x:c r="I169" s="76" t="n">
        <x:v>529337</x:v>
      </x:c>
      <x:c r="J169" s="77" t="n">
        <x:v>46184.51064119213</x:v>
      </x:c>
      <x:c r="K169" s="75" t="str"/>
    </x:row>
    <x:row r="170" ht="36" customHeight="1">
      <x:c r="A170" s="75"/>
      <x:c r="B170" s="75"/>
      <x:c r="C170" s="75"/>
      <x:c r="D170" s="75"/>
      <x:c r="E170" s="75"/>
      <x:c r="F170" s="75"/>
      <x:c r="G170" s="75"/>
      <x:c r="H170" s="75"/>
      <x:c r="I170" s="76"/>
      <x:c r="J170" s="77"/>
      <x:c r="K170" s="75"/>
    </x:row>
    <x:row r="171" ht="36" customHeight="1">
      <x:c r="A171" s="75"/>
      <x:c r="B171" s="75"/>
      <x:c r="C171" s="75"/>
      <x:c r="D171" s="75"/>
      <x:c r="E171" s="75"/>
      <x:c r="F171" s="75"/>
      <x:c r="G171" s="75"/>
      <x:c r="H171" s="75"/>
      <x:c r="I171" s="76"/>
      <x:c r="J171" s="77"/>
      <x:c r="K171" s="75"/>
    </x:row>
    <x:row r="172" ht="36" customHeight="1">
      <x:c r="A172" s="75"/>
      <x:c r="B172" s="75"/>
      <x:c r="C172" s="75"/>
      <x:c r="D172" s="75"/>
      <x:c r="E172" s="75"/>
      <x:c r="F172" s="75"/>
      <x:c r="G172" s="75"/>
      <x:c r="H172" s="75"/>
      <x:c r="I172" s="76"/>
      <x:c r="J172" s="77"/>
      <x:c r="K172" s="75"/>
    </x:row>
    <x:row r="173" ht="36" customHeight="1">
      <x:c r="A173" s="75"/>
      <x:c r="B173" s="75"/>
      <x:c r="C173" s="75"/>
      <x:c r="D173" s="75"/>
      <x:c r="E173" s="75"/>
      <x:c r="F173" s="75"/>
      <x:c r="G173" s="75"/>
      <x:c r="H173" s="75"/>
      <x:c r="I173" s="76"/>
      <x:c r="J173" s="77"/>
      <x:c r="K173" s="75"/>
    </x:row>
    <x:row r="174" ht="36" customHeight="1">
      <x:c r="A174" s="75"/>
      <x:c r="B174" s="75"/>
      <x:c r="C174" s="75"/>
      <x:c r="D174" s="75"/>
      <x:c r="E174" s="75"/>
      <x:c r="F174" s="75"/>
      <x:c r="G174" s="75"/>
      <x:c r="H174" s="75"/>
      <x:c r="I174" s="76"/>
      <x:c r="J174" s="77"/>
      <x:c r="K174" s="75"/>
    </x:row>
    <x:row r="175" ht="36" customHeight="1">
      <x:c r="A175" s="75"/>
      <x:c r="B175" s="75"/>
      <x:c r="C175" s="75"/>
      <x:c r="D175" s="75"/>
      <x:c r="E175" s="75"/>
      <x:c r="F175" s="75"/>
      <x:c r="G175" s="75"/>
      <x:c r="H175" s="75"/>
      <x:c r="I175" s="76"/>
      <x:c r="J175" s="77"/>
      <x:c r="K175" s="75"/>
    </x:row>
    <x:row r="176" ht="36" customHeight="1">
      <x:c r="A176" s="75"/>
      <x:c r="B176" s="75"/>
      <x:c r="C176" s="75"/>
      <x:c r="D176" s="75"/>
      <x:c r="E176" s="75"/>
      <x:c r="F176" s="75"/>
      <x:c r="G176" s="75"/>
      <x:c r="H176" s="75"/>
      <x:c r="I176" s="76"/>
      <x:c r="J176" s="77"/>
      <x:c r="K176" s="75"/>
    </x:row>
    <x:row r="177" ht="36" customHeight="1">
      <x:c r="A177" s="75"/>
      <x:c r="B177" s="75"/>
      <x:c r="C177" s="75"/>
      <x:c r="D177" s="75"/>
      <x:c r="E177" s="75"/>
      <x:c r="F177" s="75"/>
      <x:c r="G177" s="75"/>
      <x:c r="H177" s="75"/>
      <x:c r="I177" s="76"/>
      <x:c r="J177" s="77"/>
      <x:c r="K177" s="75"/>
    </x:row>
    <x:row r="178" ht="36" customHeight="1">
      <x:c r="A178" s="75"/>
      <x:c r="B178" s="75"/>
      <x:c r="C178" s="75"/>
      <x:c r="D178" s="75"/>
      <x:c r="E178" s="75"/>
      <x:c r="F178" s="75"/>
      <x:c r="G178" s="75"/>
      <x:c r="H178" s="75"/>
      <x:c r="I178" s="76"/>
      <x:c r="J178" s="77"/>
      <x:c r="K178" s="75"/>
    </x:row>
    <x:row r="179" ht="36" customHeight="1">
      <x:c r="A179" s="75"/>
      <x:c r="B179" s="75"/>
      <x:c r="C179" s="75"/>
      <x:c r="D179" s="75"/>
      <x:c r="E179" s="75"/>
      <x:c r="F179" s="75"/>
      <x:c r="G179" s="75"/>
      <x:c r="H179" s="75"/>
      <x:c r="I179" s="76"/>
      <x:c r="J179" s="77"/>
      <x:c r="K179" s="75"/>
    </x:row>
    <x:row r="180" ht="36" customHeight="1">
      <x:c r="A180" s="75"/>
      <x:c r="B180" s="75"/>
      <x:c r="C180" s="75"/>
      <x:c r="D180" s="75"/>
      <x:c r="E180" s="75"/>
      <x:c r="F180" s="75"/>
      <x:c r="G180" s="75"/>
      <x:c r="H180" s="75"/>
      <x:c r="I180" s="76"/>
      <x:c r="J180" s="77"/>
      <x:c r="K180" s="75"/>
    </x:row>
    <x:row r="181" ht="36" customHeight="1">
      <x:c r="A181" s="75"/>
      <x:c r="B181" s="75"/>
      <x:c r="C181" s="75"/>
      <x:c r="D181" s="75"/>
      <x:c r="E181" s="75"/>
      <x:c r="F181" s="75"/>
      <x:c r="G181" s="75"/>
      <x:c r="H181" s="75"/>
      <x:c r="I181" s="76"/>
      <x:c r="J181" s="77"/>
      <x:c r="K181" s="75"/>
    </x:row>
    <x:row r="182" ht="36" customHeight="1">
      <x:c r="A182" s="75"/>
      <x:c r="B182" s="75"/>
      <x:c r="C182" s="75"/>
      <x:c r="D182" s="75"/>
      <x:c r="E182" s="75"/>
      <x:c r="F182" s="75"/>
      <x:c r="G182" s="75"/>
      <x:c r="H182" s="75"/>
      <x:c r="I182" s="76"/>
      <x:c r="J182" s="77"/>
      <x:c r="K182" s="75"/>
    </x:row>
    <x:row r="183" ht="36" customHeight="1">
      <x:c r="A183" s="75"/>
      <x:c r="B183" s="75"/>
      <x:c r="C183" s="75"/>
      <x:c r="D183" s="75"/>
      <x:c r="E183" s="75"/>
      <x:c r="F183" s="75"/>
      <x:c r="G183" s="75"/>
      <x:c r="H183" s="75"/>
      <x:c r="I183" s="76"/>
      <x:c r="J183" s="77"/>
      <x:c r="K183" s="75"/>
    </x:row>
    <x:row r="184" ht="36" customHeight="1">
      <x:c r="A184" s="75"/>
      <x:c r="B184" s="75"/>
      <x:c r="C184" s="75"/>
      <x:c r="D184" s="75"/>
      <x:c r="E184" s="75"/>
      <x:c r="F184" s="75"/>
      <x:c r="G184" s="75"/>
      <x:c r="H184" s="75"/>
      <x:c r="I184" s="76"/>
      <x:c r="J184" s="77"/>
      <x:c r="K184" s="75"/>
    </x:row>
    <x:row r="185" ht="36" customHeight="1">
      <x:c r="A185" s="75"/>
      <x:c r="B185" s="75"/>
      <x:c r="C185" s="75"/>
      <x:c r="D185" s="75"/>
      <x:c r="E185" s="75"/>
      <x:c r="F185" s="75"/>
      <x:c r="G185" s="75"/>
      <x:c r="H185" s="75"/>
      <x:c r="I185" s="76"/>
      <x:c r="J185" s="77"/>
      <x:c r="K185" s="75"/>
    </x:row>
    <x:row r="186" ht="36" customHeight="1">
      <x:c r="A186" s="75"/>
      <x:c r="B186" s="75"/>
      <x:c r="C186" s="75"/>
      <x:c r="D186" s="75"/>
      <x:c r="E186" s="75"/>
      <x:c r="F186" s="75"/>
      <x:c r="G186" s="75"/>
      <x:c r="H186" s="75"/>
      <x:c r="I186" s="76"/>
      <x:c r="J186" s="77"/>
      <x:c r="K186" s="75"/>
    </x:row>
    <x:row r="187" ht="36" customHeight="1">
      <x:c r="A187" s="75"/>
      <x:c r="B187" s="75"/>
      <x:c r="C187" s="75"/>
      <x:c r="D187" s="75"/>
      <x:c r="E187" s="75"/>
      <x:c r="F187" s="75"/>
      <x:c r="G187" s="75"/>
      <x:c r="H187" s="75"/>
      <x:c r="I187" s="76"/>
      <x:c r="J187" s="77"/>
      <x:c r="K187" s="75"/>
    </x:row>
    <x:row r="188" ht="36" customHeight="1">
      <x:c r="A188" s="75"/>
      <x:c r="B188" s="75"/>
      <x:c r="C188" s="75"/>
      <x:c r="D188" s="75"/>
      <x:c r="E188" s="75"/>
      <x:c r="F188" s="75"/>
      <x:c r="G188" s="75"/>
      <x:c r="H188" s="75"/>
      <x:c r="I188" s="76"/>
      <x:c r="J188" s="77"/>
      <x:c r="K188" s="75"/>
    </x:row>
    <x:row r="189" ht="36" customHeight="1">
      <x:c r="A189" s="78"/>
      <x:c r="B189" s="78"/>
      <x:c r="C189" s="78"/>
      <x:c r="D189" s="78"/>
      <x:c r="E189" s="78"/>
      <x:c r="F189" s="78"/>
      <x:c r="G189" s="78"/>
      <x:c r="H189" s="78"/>
      <x:c r="I189" s="79"/>
      <x:c r="J189" s="80"/>
      <x:c r="K189" s="78"/>
    </x:row>
  </x:sheetData>
  <x:mergeCells>
    <x:mergeCell ref="A1:K1"/>
    <x:mergeCell ref="A2:K2"/>
    <x:mergeCell ref="A3:B3"/>
  </x:mergeCells>
  <x:conditionalFormatting sqref="D6:D189">
    <x:cfRule type="containsText" dxfId="312" priority="1" operator="containsText" text="Draft"/>
    <x:cfRule type="containsText" dxfId="313" priority="2" operator="containsText" text="Review"/>
    <x:cfRule type="containsText" dxfId="314" priority="3" operator="containsText" text="Approved"/>
    <x:cfRule type="containsText" dxfId="315" priority="4" operator="containsText" text="Accepted"/>
  </x:conditionalFormatting>
  <x:dataValidations count="1">
    <x:dataValidation type="list" sqref="B6:B189">
      <x:formula1>"Product Categories,Create Hub,Identity Profiles,Booking,AI,Market Rollout,Mobile,Backend,API Contracts,Security Privacy,Architecture ADR,Testing CI,Documentation"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c7a3841c8374b26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" hidden="0" customWidth="1"/>
    <x:col min="2" max="2" width="24" hidden="0" customWidth="1"/>
    <x:col min="3" max="3" width="42" hidden="0" customWidth="1"/>
    <x:col min="4" max="4" width="40" hidden="0" customWidth="1"/>
    <x:col min="5" max="5" width="40" hidden="0" customWidth="1"/>
    <x:col min="6" max="6" width="14" hidden="0" customWidth="1"/>
    <x:col min="7" max="7" width="34" hidden="0" customWidth="1"/>
    <x:col min="8" max="8" width="20" hidden="0" customWidth="1"/>
    <x:col min="9" max="9" width="36" hidden="0" customWidth="1"/>
    <x:col min="10" max="10" width="3" hidden="0" customWidth="1"/>
    <x:col min="11" max="11" width="12" hidden="0" customWidth="1"/>
    <x:col min="12" max="12" width="31" hidden="0" customWidth="1"/>
    <x:col min="13" max="13" width="31" hidden="0" customWidth="1"/>
    <x:col min="14" max="14" width="24" hidden="0" customWidth="1"/>
    <x:col min="15" max="15" width="26" hidden="0" customWidth="1"/>
    <x:col min="16" max="16" width="36" hidden="0" customWidth="1"/>
  </x:cols>
  <x:sheetData>
    <x:row r="1" ht="34" customHeight="1">
      <x:c r="A1" s="298" t="str">
        <x:v>ЭТАПНОСТЬ СОЗДАНИЯ RECHARGE</x:v>
      </x:c>
      <x:c r="B1" s="298"/>
      <x:c r="C1" s="298"/>
      <x:c r="D1" s="298"/>
      <x:c r="E1" s="298"/>
      <x:c r="F1" s="298"/>
      <x:c r="G1" s="298"/>
      <x:c r="H1" s="298"/>
      <x:c r="I1" s="298"/>
      <x:c r="J1" s="298"/>
      <x:c r="K1" s="298"/>
      <x:c r="L1" s="298"/>
      <x:c r="M1" s="298"/>
      <x:c r="N1" s="298"/>
      <x:c r="O1" s="298"/>
      <x:c r="P1" s="298"/>
    </x:row>
    <x:row r="2" ht="30" customHeight="1">
      <x:c r="A2" s="302" t="str">
        <x:v>Слева — только обязательная последовательность и реальные gates. Справа — независимые или условные треки: они подключаются только когда входят в выбранный launch scope.</x:v>
      </x:c>
      <x:c r="B2" s="302"/>
      <x:c r="C2" s="302"/>
      <x:c r="D2" s="302"/>
      <x:c r="E2" s="302"/>
      <x:c r="F2" s="302"/>
      <x:c r="G2" s="302"/>
      <x:c r="H2" s="302"/>
      <x:c r="I2" s="302"/>
      <x:c r="J2" s="302"/>
      <x:c r="K2" s="302"/>
      <x:c r="L2" s="302"/>
      <x:c r="M2" s="302"/>
      <x:c r="N2" s="302"/>
      <x:c r="O2" s="302"/>
      <x:c r="P2" s="302"/>
    </x:row>
    <x:row r="3">
      <x:c r="A3" s="304" t="e">
        <x:f>HYPERLINK("#'Паук'!A1","← Вернуться к пауку")</x:f>
        <x:v>HYPERLINK is not implemented. linkLocation=#'Паук'!A1, friendlyName=← Вернуться к пауку</x:v>
      </x:c>
      <x:c r="B3" s="304"/>
      <x:c r="C3" s="304"/>
    </x:row>
    <x:row r="5">
      <x:c r="A5" s="309" t="str">
        <x:v>Критических этапов</x:v>
      </x:c>
      <x:c r="B5" s="313" t="n">
        <x:f>COUNTA(A10:A25)</x:f>
        <x:v>16</x:v>
      </x:c>
      <x:c r="D5" s="309" t="str">
        <x:v>Завершено</x:v>
      </x:c>
      <x:c r="E5" s="313" t="n">
        <x:f>COUNTIF(F10:F25,"Готово")</x:f>
        <x:v>1</x:v>
      </x:c>
      <x:c r="G5" s="309" t="str">
        <x:v>Текущий фокус</x:v>
      </x:c>
      <x:c r="H5" s="312" t="str">
        <x:v>Стабилизация + D1 docs</x:v>
      </x:c>
      <x:c r="I5" s="310"/>
      <x:c r="K5" s="309" t="str">
        <x:v>Условных треков</x:v>
      </x:c>
      <x:c r="L5" s="313" t="n">
        <x:f>COUNTA(K10:K15)</x:f>
        <x:v>6</x:v>
      </x:c>
    </x:row>
    <x:row r="7" ht="34" customHeight="1">
      <x:c r="A7" s="322" t="str">
        <x:v>Правило чтения: следующий этап начинается только после Exit предыдущего. Документ ≠ runtime; local/mock ≠ production. Условный трек не блокирует основной путь, пока соответствующая функция выключена и это честно отражено в продукте.</x:v>
      </x:c>
      <x:c r="B7" s="323"/>
      <x:c r="C7" s="323"/>
      <x:c r="D7" s="323"/>
      <x:c r="E7" s="323"/>
      <x:c r="F7" s="323"/>
      <x:c r="G7" s="323"/>
      <x:c r="H7" s="323"/>
      <x:c r="I7" s="323"/>
      <x:c r="J7" s="323"/>
      <x:c r="K7" s="323"/>
      <x:c r="L7" s="323"/>
      <x:c r="M7" s="323"/>
      <x:c r="N7" s="323"/>
      <x:c r="O7" s="323"/>
      <x:c r="P7" s="324"/>
    </x:row>
    <x:row r="9" ht="42" customHeight="1">
      <x:c r="A9" s="354" t="str">
        <x:v>№</x:v>
      </x:c>
      <x:c r="B9" s="354" t="str">
        <x:v>Этап / gate</x:v>
      </x:c>
      <x:c r="C9" s="354" t="str">
        <x:v>Обязательная работа</x:v>
      </x:c>
      <x:c r="D9" s="354" t="str">
        <x:v>Entry — что должно быть готово</x:v>
      </x:c>
      <x:c r="E9" s="354" t="str">
        <x:v>Exit — проверяемый результат</x:v>
      </x:c>
      <x:c r="F9" s="354" t="str">
        <x:v>Статус сейчас</x:v>
      </x:c>
      <x:c r="G9" s="354" t="str">
        <x:v>Что блокирует сейчас</x:v>
      </x:c>
      <x:c r="H9" s="354" t="str">
        <x:v>Следующий переход</x:v>
      </x:c>
      <x:c r="I9" s="354" t="str">
        <x:v>Источник</x:v>
      </x:c>
      <x:c r="J9" s="355"/>
      <x:c r="K9" s="356" t="str">
        <x:v>ID</x:v>
      </x:c>
      <x:c r="L9" s="356" t="str">
        <x:v>Независимый / условный трек</x:v>
      </x:c>
      <x:c r="M9" s="356" t="str">
        <x:v>Когда действительно нужен</x:v>
      </x:c>
      <x:c r="N9" s="356" t="str">
        <x:v>Состояние сейчас</x:v>
      </x:c>
      <x:c r="O9" s="356" t="str">
        <x:v>Точка подключения</x:v>
      </x:c>
      <x:c r="P9" s="356" t="str">
        <x:v>Правило / источник</x:v>
      </x:c>
    </x:row>
    <x:row r="10" ht="66" customHeight="1">
      <x:c r="A10" s="357" t="n">
        <x:v>0</x:v>
      </x:c>
      <x:c r="B10" s="358" t="str">
        <x:v>M1 · Архитектурные границы</x:v>
      </x:c>
      <x:c r="C10" s="358" t="str">
        <x:v>Закрепить слои, boundary-check, provider-neutral ports и compatibility policy.</x:v>
      </x:c>
      <x:c r="D10" s="358" t="str">
        <x:v>Accepted ADR и baseline.</x:v>
      </x:c>
      <x:c r="E10" s="358" t="str">
        <x:v>Границы исполняются CI; destructive cleanup отложен.</x:v>
      </x:c>
      <x:c r="F10" s="357" t="str">
        <x:v>Готово</x:v>
      </x:c>
      <x:c r="G10" s="358" t="str">
        <x:v>Нет по самому M1; рабочее дерево остаётся грязным.</x:v>
      </x:c>
      <x:c r="H10" s="358" t="str">
        <x:v>Стабилизация</x:v>
      </x:c>
      <x:c r="I10" s="358" t="str">
        <x:v>docs/architecture/ARCHITECTURE_BASELINE.md</x:v>
      </x:c>
      <x:c r="J10" s="355"/>
      <x:c r="K10" s="359" t="str">
        <x:v>OPT-01</x:v>
      </x:c>
      <x:c r="L10" s="359" t="str">
        <x:v>G4/R5/R6 · Internal free Booking</x:v>
      </x:c>
      <x:c r="M10" s="359" t="str">
        <x:v>Только если внутреннее бесплатное бронирование входит в launch scope.</x:v>
      </x:c>
      <x:c r="N10" s="359" t="str">
        <x:v>ECL-03C-P Review; runtime absent</x:v>
      </x:c>
      <x:c r="O10" s="359" t="str">
        <x:v>До M9/R6 и cohort — лишь для включённого Booking</x:v>
      </x:c>
      <x:c r="P10" s="359" t="str">
        <x:v>Иначе сохраняется externalBookingUrl; Booking не скрытый blocker GA.</x:v>
      </x:c>
    </x:row>
    <x:row r="11" ht="66" customHeight="1">
      <x:c r="A11" s="360" t="n">
        <x:v>1</x:v>
      </x:c>
      <x:c r="B11" s="361" t="str">
        <x:v>Стабилизация · текущий gate</x:v>
      </x:c>
      <x:c r="C11" s="361" t="str">
        <x:v>Закрыть Review-slices, получить актуальные analyze/test/device evidence, обновить LAUNCH_STATUS и разложить изменения по осмысленным коммитам.</x:v>
      </x:c>
      <x:c r="D11" s="361" t="str">
        <x:v>M1 выполнен.</x:v>
      </x:c>
      <x:c r="E11" s="361" t="str">
        <x:v>Analyzer и полный suite зелёные; Review либо Done, либо Doing; статус отражает факты.</x:v>
      </x:c>
      <x:c r="F11" s="360" t="str">
        <x:v>В работе</x:v>
      </x:c>
      <x:c r="G11" s="361" t="str">
        <x:v>Dirty tree; analyzer в аудите не завершился; полный suite не запускался; device QA частично pending.</x:v>
      </x:c>
      <x:c r="H11" s="361" t="str">
        <x:v>M2 + D1</x:v>
      </x:c>
      <x:c r="I11" s="361" t="str">
        <x:v>AGENTS.md; docs/architecture/LAUNCH_STATUS.md</x:v>
      </x:c>
      <x:c r="J11" s="355"/>
      <x:c r="K11" s="361" t="str">
        <x:v>OPT-02</x:v>
      </x:c>
      <x:c r="L11" s="361" t="str">
        <x:v>R7 · Scenario/Route cloud sync</x:v>
      </x:c>
      <x:c r="M11" s="361" t="str">
        <x:v>Только если cloud sync/publication рекламируется как launch feature.</x:v>
      </x:c>
      <x:c r="N11" s="361" t="str">
        <x:v>Local runtime есть; backend отсутствует</x:v>
      </x:c>
      <x:c r="O11" s="361" t="str">
        <x:v>После R3, до cohort выбранного scope</x:v>
      </x:c>
      <x:c r="P11" s="361" t="str">
        <x:v>BCK-10/11; Route, Scenario и Quick Plan остаются разными aggregates.</x:v>
      </x:c>
    </x:row>
    <x:row r="12" ht="66" customHeight="1">
      <x:c r="A12" s="362" t="n">
        <x:v>2</x:v>
      </x:c>
      <x:c r="B12" s="363" t="str">
        <x:v>M2 + D1 · Primitives и Platform docs</x:v>
      </x:c>
      <x:c r="C12" s="363" t="str">
        <x:v>M2: Geo/Money/ID/time primitives. D1: сначала BCK-01, затем BCK-03/04/05/20 параллельно; закрыть обязательные OD.</x:v>
      </x:c>
      <x:c r="D12" s="363" t="str">
        <x:v>Стабилизация допускает bounded docs/local work; D0/G0 уже пройдены.</x:v>
      </x:c>
      <x:c r="E12" s="363" t="str">
        <x:v>D1 platform set Approved; OD-07/10 Accepted; OD-09/11 минимум Proposed; миграция обратимо описана.</x:v>
      </x:c>
      <x:c r="F12" s="362" t="str">
        <x:v>Частично</x:v>
      </x:c>
      <x:c r="G12" s="363" t="str">
        <x:v>BCK-01/03/04 Draft; BCK-05/20 отсутствуют; OD-01…11 Open.</x:v>
      </x:c>
      <x:c r="H12" s="363" t="str">
        <x:v>M3 + R0</x:v>
      </x:c>
      <x:c r="I12" s="363" t="str">
        <x:v>docs/product/RECHARGE_BACKEND_DELIVERY_MAP.md §10</x:v>
      </x:c>
      <x:c r="J12" s="355"/>
      <x:c r="K12" s="364" t="str">
        <x:v>OPT-03</x:v>
      </x:c>
      <x:c r="L12" s="364" t="str">
        <x:v>R9 · Provider integrations / Production AI</x:v>
      </x:c>
      <x:c r="M12" s="364" t="str">
        <x:v>Только для реально включаемого провайдера или production AI.</x:v>
      </x:c>
      <x:c r="N12" s="364" t="str">
        <x:v>Local AI foundation Done; provider runtime absent</x:v>
      </x:c>
      <x:c r="O12" s="364" t="str">
        <x:v>После R1 и vendor/security/cost approval</x:v>
      </x:c>
      <x:c r="P12" s="364" t="str">
        <x:v>Не блокирует базовый launch; обязательны provenance/fallback/kill switch.</x:v>
      </x:c>
    </x:row>
    <x:row r="13" ht="66" customHeight="1">
      <x:c r="A13" s="360" t="n">
        <x:v>3</x:v>
      </x:c>
      <x:c r="B13" s="361" t="str">
        <x:v>M3 + R0 · Behavior migration и feasibility</x:v>
      </x:c>
      <x:c r="C13" s="361" t="str">
        <x:v>Перевести behavior на controllers/commands без удаления legacy; отдельно доказать локальный backend toolchain/emulator без cloud resources.</x:v>
      </x:c>
      <x:c r="D13" s="361" t="str">
        <x:v>M2/D1 готовы; explicit post-stabilization backend authorization и Approved bounded slice.</x:v>
      </x:c>
      <x:c r="E13" s="361" t="str">
        <x:v>Поведение совместимо; R0 воспроизводим локально; production data/resources не созданы.</x:v>
      </x:c>
      <x:c r="F13" s="360" t="str">
        <x:v>План</x:v>
      </x:c>
      <x:c r="G13" s="361" t="str">
        <x:v>Нет backend authorization; D1 не Approved.</x:v>
      </x:c>
      <x:c r="H13" s="361" t="str">
        <x:v>G1 / R1</x:v>
      </x:c>
      <x:c r="I13" s="361" t="str">
        <x:v>Architecture roadmap; BACKEND_DELIVERY_MAP §11</x:v>
      </x:c>
      <x:c r="J13" s="355"/>
      <x:c r="K13" s="361" t="str">
        <x:v>OPT-04</x:v>
      </x:c>
      <x:c r="L13" s="361" t="str">
        <x:v>R10 · Payments</x:v>
      </x:c>
      <x:c r="M13" s="361" t="str">
        <x:v>Только для внутренней оплаты Recharge.</x:v>
      </x:c>
      <x:c r="N13" s="361" t="str">
        <x:v>Отсутствует</x:v>
      </x:c>
      <x:c r="O13" s="361" t="str">
        <x:v>Отдельный rollout после нового Accepted ADR</x:v>
      </x:c>
      <x:c r="P13" s="361" t="str">
        <x:v>Не следует автоматически из Booking; внешний handoff остаётся допустимым.</x:v>
      </x:c>
    </x:row>
    <x:row r="14" ht="66" customHeight="1">
      <x:c r="A14" s="362" t="n">
        <x:v>4</x:v>
      </x:c>
      <x:c r="B14" s="363" t="str">
        <x:v>G1 / R1 · Platform scaffold</x:v>
      </x:c>
      <x:c r="C14" s="363" t="str">
        <x:v>Создать изолированные environments, IAM/secrets/App Check/rules baseline; все mutations и markets выключены по умолчанию.</x:v>
      </x:c>
      <x:c r="D14" s="363" t="str">
        <x:v>R0 complete; OD-07 Accepted; exact file plan и rollback.</x:v>
      </x:c>
      <x:c r="E14" s="363" t="str">
        <x:v>Isolation, least privilege, negative tests и kill switches доказаны; production traffic отсутствует.</x:v>
      </x:c>
      <x:c r="F14" s="362" t="str">
        <x:v>План</x:v>
      </x:c>
      <x:c r="G14" s="363" t="str">
        <x:v>apps/backend/Firebase config/rules отсутствуют; G1 не разрешён.</x:v>
      </x:c>
      <x:c r="H14" s="363" t="str">
        <x:v>M4 + G2/R2</x:v>
      </x:c>
      <x:c r="I14" s="363" t="str">
        <x:v>docs/product/RECHARGE_BACKEND_DELIVERY_MAP.md §11</x:v>
      </x:c>
      <x:c r="J14" s="355"/>
      <x:c r="K14" s="364" t="str">
        <x:v>OPT-05</x:v>
      </x:c>
      <x:c r="L14" s="364" t="str">
        <x:v>EE/LT M0–M5 · Independent market rollout</x:v>
      </x:c>
      <x:c r="M14" s="364" t="str">
        <x:v>Параллельно Latvia: contracts/data/legal/localization можно готовить заранее.</x:v>
      </x:c>
      <x:c r="N14" s="364" t="str">
        <x:v>План</x:v>
      </x:c>
      <x:c r="O14" s="364" t="str">
        <x:v>Собственные G6/G7-equivalent cohort/GA</x:v>
      </x:c>
      <x:c r="P14" s="364" t="str">
        <x:v>Не блокирует Latvia GA; каждый рынок активируется независимо.</x:v>
      </x:c>
    </x:row>
    <x:row r="15" ht="66" customHeight="1">
      <x:c r="A15" s="360" t="n">
        <x:v>5</x:v>
      </x:c>
      <x:c r="B15" s="361" t="str">
        <x:v>M4 + G2 / R2 · Identity authority</x:v>
      </x:c>
      <x:c r="C15" s="361" t="str">
        <x:v>Production Auth, account linking/recovery, capability authority, Creator verification, ManagedPage membership и revocation.</x:v>
      </x:c>
      <x:c r="D15" s="361" t="str">
        <x:v>R1 complete; identity/privacy/session specs Approved; OD-08/11 закрыты для включаемого scope.</x:v>
      </x:c>
      <x:c r="E15" s="361" t="str">
        <x:v>Mock grants исключены из authority; auth/capability/page tests зелёные; fail-closed policy доказана.</x:v>
      </x:c>
      <x:c r="F15" s="360" t="str">
        <x:v>План</x:v>
      </x:c>
      <x:c r="G15" s="361" t="str">
        <x:v>Profile family Draft; production identity and backend runtime отсутствуют.</x:v>
      </x:c>
      <x:c r="H15" s="361" t="str">
        <x:v>M5</x:v>
      </x:c>
      <x:c r="I15" s="361" t="str">
        <x:v>ADR 0015–0017; docs/product/PROFILE_DOCUMENTS_INDEX.md</x:v>
      </x:c>
      <x:c r="J15" s="355"/>
      <x:c r="K15" s="365" t="str">
        <x:v>OPT-06</x:v>
      </x:c>
      <x:c r="L15" s="365" t="str">
        <x:v>Route real-device QA</x:v>
      </x:c>
      <x:c r="M15" s="365" t="str">
        <x:v>Нужно перед production claim GPS/Route, но не перед базовым backend scaffold.</x:v>
      </x:c>
      <x:c r="N15" s="365" t="str">
        <x:v>RTE-08–11 Review; device pending</x:v>
      </x:c>
      <x:c r="O15" s="365" t="str">
        <x:v>До включения Route GPS в cohort</x:v>
      </x:c>
      <x:c r="P15" s="365" t="str">
        <x:v>Android/iOS lock/revoke/restart/battery evidence обязательно для Route.</x:v>
      </x:c>
    </x:row>
    <x:row r="16" ht="56" customHeight="1">
      <x:c r="A16" s="362" t="n">
        <x:v>6</x:v>
      </x:c>
      <x:c r="B16" s="363" t="str">
        <x:v>M5 · Descriptors и contracts</x:v>
      </x:c>
      <x:c r="C16" s="363" t="str">
        <x:v>Согласовать 10 Create types, PublisherRef, schema versions, import/migration contract и typed backend interfaces.</x:v>
      </x:c>
      <x:c r="D16" s="363" t="str">
        <x:v>R2 authority contract стабилен; BCK-18 path определён.</x:v>
      </x:c>
      <x:c r="E16" s="363" t="str">
        <x:v>Каждый payload имеет owner/publisher/id/version; forward/backward fixtures и no-silent-write gates зелёные.</x:v>
      </x:c>
      <x:c r="F16" s="362" t="str">
        <x:v>План</x:v>
      </x:c>
      <x:c r="G16" s="363" t="str">
        <x:v>BCK-18 и production client contracts не готовы.</x:v>
      </x:c>
      <x:c r="H16" s="363" t="str">
        <x:v>M6</x:v>
      </x:c>
      <x:c r="I16" s="363" t="str">
        <x:v>packages/api_contracts; docs/product/RECHARGE_BACKEND_DELIVERY_MAP.md</x:v>
      </x:c>
      <x:c r="J16" s="355"/>
      <x:c r="K16" s="355"/>
      <x:c r="L16" s="355"/>
      <x:c r="M16" s="355"/>
      <x:c r="N16" s="355"/>
      <x:c r="O16" s="355"/>
      <x:c r="P16" s="355"/>
    </x:row>
    <x:row r="17" ht="56" customHeight="1">
      <x:c r="A17" s="360" t="n">
        <x:v>7</x:v>
      </x:c>
      <x:c r="B17" s="361" t="str">
        <x:v>M6 · Projections/read models</x:v>
      </x:c>
      <x:c r="C17" s="361" t="str">
        <x:v>Подготовить feed/map/search/details projections, cache/freshness, rebuild и local/remote parity без прямых Firestore imports в UI/domain.</x:v>
      </x:c>
      <x:c r="D17" s="361" t="str">
        <x:v>M5 schemas/contracts стабильны.</x:v>
      </x:c>
      <x:c r="E17" s="361" t="str">
        <x:v>Projection replay и parity доказаны; local fallback остаётся честным.</x:v>
      </x:c>
      <x:c r="F17" s="360" t="str">
        <x:v>План</x:v>
      </x:c>
      <x:c r="G17" s="361" t="str">
        <x:v>Нет production catalog/projection runtime.</x:v>
      </x:c>
      <x:c r="H17" s="361" t="str">
        <x:v>M7</x:v>
      </x:c>
      <x:c r="I17" s="361" t="str">
        <x:v>docs/product/RECHARGE_BACKEND_LATVIA_IMPLEMENTATION_ROADMAP.md</x:v>
      </x:c>
      <x:c r="J17" s="355"/>
      <x:c r="K17" s="355"/>
      <x:c r="L17" s="355"/>
      <x:c r="M17" s="355"/>
      <x:c r="N17" s="355"/>
      <x:c r="O17" s="355"/>
      <x:c r="P17" s="355"/>
    </x:row>
    <x:row r="18" ht="56" customHeight="1">
      <x:c r="A18" s="362" t="n">
        <x:v>8</x:v>
      </x:c>
      <x:c r="B18" s="363" t="str">
        <x:v>M7 · Latvia market pack</x:v>
      </x:c>
      <x:c r="C18" s="363" t="str">
        <x:v>Настроить en/ru/lv, Riga/Latvia defaults, EUR, MarketConfig, legal/privacy/age/localization policy и server flags.</x:v>
      </x:c>
      <x:c r="D18" s="363" t="str">
        <x:v>M6 read models; OD-10/11 market policy.</x:v>
      </x:c>
      <x:c r="E18" s="363" t="str">
        <x:v>Latvia pack Approved; disabled-by-default flags и locale fallback проверены.</x:v>
      </x:c>
      <x:c r="F18" s="362" t="str">
        <x:v>План</x:v>
      </x:c>
      <x:c r="G18" s="363" t="str">
        <x:v>lib/l10n отсутствует; координаты Discover mock; market/legal decisions не закрыты.</x:v>
      </x:c>
      <x:c r="H18" s="363" t="str">
        <x:v>G3/R3 + M8</x:v>
      </x:c>
      <x:c r="I18" s="363" t="str">
        <x:v>AGENTS.md; docs/product/RECHARGE_BACKEND_LATVIA_IMPLEMENTATION_ROADMAP.md</x:v>
      </x:c>
      <x:c r="J18" s="355"/>
      <x:c r="K18" s="355"/>
      <x:c r="L18" s="355"/>
      <x:c r="M18" s="355"/>
      <x:c r="N18" s="355"/>
      <x:c r="O18" s="355"/>
      <x:c r="P18" s="355"/>
    </x:row>
    <x:row r="19" ht="56" customHeight="1">
      <x:c r="A19" s="360" t="n">
        <x:v>9</x:v>
      </x:c>
      <x:c r="B19" s="361" t="str">
        <x:v>G3 / R3 + M8 · Remote adapters/catalog</x:v>
      </x:c>
      <x:c r="C19" s="361" t="str">
        <x:v>Подключить typed mobile adapters, trusted publication, read catalog и честный external booking handoff.</x:v>
      </x:c>
      <x:c r="D19" s="361" t="str">
        <x:v>R2 complete; M7 pack; G3; BCK-18; applicable OD-11.</x:v>
      </x:c>
      <x:c r="E19" s="361" t="str">
        <x:v>Contract/mock/emulator parity, provenance, freshness, rollback и policy enforcement доказаны.</x:v>
      </x:c>
      <x:c r="F19" s="360" t="str">
        <x:v>План</x:v>
      </x:c>
      <x:c r="G19" s="361" t="str">
        <x:v>Remote adapters/backend/catalog отсутствуют.</x:v>
      </x:c>
      <x:c r="H19" s="361" t="str">
        <x:v>R4 + controlled cutover</x:v>
      </x:c>
      <x:c r="I19" s="361" t="str">
        <x:v>docs/product/RECHARGE_BACKEND_DELIVERY_MAP.md §11</x:v>
      </x:c>
      <x:c r="J19" s="355"/>
      <x:c r="K19" s="355"/>
      <x:c r="L19" s="355"/>
      <x:c r="M19" s="355"/>
      <x:c r="N19" s="355"/>
      <x:c r="O19" s="355"/>
      <x:c r="P19" s="355"/>
    </x:row>
    <x:row r="20" ht="56" customHeight="1">
      <x:c r="A20" s="362" t="n">
        <x:v>10</x:v>
      </x:c>
      <x:c r="B20" s="363" t="str">
        <x:v>R4 · Library/Notifications/Media</x:v>
      </x:c>
      <x:c r="C20" s="363" t="str">
        <x:v>Реализовать owner-scoped library, authoritative outbox/push и secure media lifecycle только для включаемых flows.</x:v>
      </x:c>
      <x:c r="D20" s="363" t="str">
        <x:v>R2 complete; BCK-12/13/14 Approved; related ODs closed.</x:v>
      </x:c>
      <x:c r="E20" s="363" t="str">
        <x:v>Ownership, delivery idempotency, access/deletion and abuse tests green.</x:v>
      </x:c>
      <x:c r="F20" s="362" t="str">
        <x:v>План</x:v>
      </x:c>
      <x:c r="G20" s="363" t="str">
        <x:v>BCK-12/13/14 не Approved; runtime отсутствует.</x:v>
      </x:c>
      <x:c r="H20" s="363" t="str">
        <x:v>M9 / R6</x:v>
      </x:c>
      <x:c r="I20" s="363" t="str">
        <x:v>docs/product/RECHARGE_BACKEND_DELIVERY_MAP.md §11</x:v>
      </x:c>
      <x:c r="J20" s="355"/>
      <x:c r="K20" s="355"/>
      <x:c r="L20" s="355"/>
      <x:c r="M20" s="355"/>
      <x:c r="N20" s="355"/>
      <x:c r="O20" s="355"/>
      <x:c r="P20" s="355"/>
    </x:row>
    <x:row r="21" ht="56" customHeight="1">
      <x:c r="A21" s="360" t="n">
        <x:v>11</x:v>
      </x:c>
      <x:c r="B21" s="361" t="str">
        <x:v>M9 + G5 / R6 · Controlled cutover &amp; Ops</x:v>
      </x:c>
      <x:c r="C21" s="361" t="str">
        <x:v>Включить bounded persistent staging, Admin/Support, reconciliation/repair, DSR, load/soak/restore evidence; убрать mock authority из production paths.</x:v>
      </x:c>
      <x:c r="D21" s="361" t="str">
        <x:v>R3/R4 готовы; G5; BCK-19/RUN-03 и selected branch evidence.</x:v>
      </x:c>
      <x:c r="E21" s="361" t="str">
        <x:v>Staff-only cohort green; alerts, rollback, repair, privacy deletion and DR exercised.</x:v>
      </x:c>
      <x:c r="F21" s="360" t="str">
        <x:v>План</x:v>
      </x:c>
      <x:c r="G21" s="361" t="str">
        <x:v>Нет runtime topology, runbooks и staging evidence.</x:v>
      </x:c>
      <x:c r="H21" s="361" t="str">
        <x:v>R8 и G6/R11</x:v>
      </x:c>
      <x:c r="I21" s="361" t="str">
        <x:v>docs/product/RECHARGE_BACKEND_DELIVERY_MAP.md §11</x:v>
      </x:c>
      <x:c r="J21" s="355"/>
      <x:c r="K21" s="355"/>
      <x:c r="L21" s="355"/>
      <x:c r="M21" s="355"/>
      <x:c r="N21" s="355"/>
      <x:c r="O21" s="355"/>
      <x:c r="P21" s="355"/>
    </x:row>
    <x:row r="22" ht="56" customHeight="1">
      <x:c r="A22" s="362" t="n">
        <x:v>12</x:v>
      </x:c>
      <x:c r="B22" s="363" t="str">
        <x:v>R8 · Trust &amp; Safety для UGC</x:v>
      </x:c>
      <x:c r="C22" s="363" t="str">
        <x:v>До видимых Reviews/Find People: report/block/filter, moderation, sanctions, appeals и age-sensitive safeguards.</x:v>
      </x:c>
      <x:c r="D22" s="363" t="str">
        <x:v>R4 complete; BCK-12/22, OD-06/11 и market/store/legal policy.</x:v>
      </x:c>
      <x:c r="E22" s="363" t="str">
        <x:v>End-to-end abuse and appeal tests green; disabled markets remain hidden.</x:v>
      </x:c>
      <x:c r="F22" s="362" t="str">
        <x:v>План</x:v>
      </x:c>
      <x:c r="G22" s="363" t="str">
        <x:v>Reviews spec/runtime отсутствуют; BCK-22 и policy decisions не готовы.</x:v>
      </x:c>
      <x:c r="H22" s="363" t="str">
        <x:v>G6/R11</x:v>
      </x:c>
      <x:c r="I22" s="363" t="str">
        <x:v>docs/product/RECHARGE_BACKEND_LATVIA_IMPLEMENTATION_ROADMAP.md §25</x:v>
      </x:c>
      <x:c r="J22" s="355"/>
      <x:c r="K22" s="355"/>
      <x:c r="L22" s="355"/>
      <x:c r="M22" s="355"/>
      <x:c r="N22" s="355"/>
      <x:c r="O22" s="355"/>
      <x:c r="P22" s="355"/>
    </x:row>
    <x:row r="23" ht="56" customHeight="1">
      <x:c r="A23" s="360" t="n">
        <x:v>13</x:v>
      </x:c>
      <x:c r="B23" s="361" t="str">
        <x:v>G6 / R11 · Latvia production cohort</x:v>
      </x:c>
      <x:c r="C23" s="361" t="str">
        <x:v>Запустить bounded Latvia cohort только с exact enabled feature profile и заранее заданными stop conditions.</x:v>
      </x:c>
      <x:c r="D23" s="361" t="str">
        <x:v>Все обязательные для выбранного scope этапы готовы; MarketConfig Approved; rollback/SLO/privacy/ops evidence green.</x:v>
      </x:c>
      <x:c r="E23" s="361" t="str">
        <x:v>Observation metrics, drills, cost/support load и rollback readiness приняты.</x:v>
      </x:c>
      <x:c r="F23" s="360" t="str">
        <x:v>План</x:v>
      </x:c>
      <x:c r="G23" s="361" t="str">
        <x:v>Предыдущие production gates не пройдены.</x:v>
      </x:c>
      <x:c r="H23" s="361" t="str">
        <x:v>G7/R12</x:v>
      </x:c>
      <x:c r="I23" s="361" t="str">
        <x:v>docs/product/RECHARGE_BACKEND_DELIVERY_MAP.md §11</x:v>
      </x:c>
      <x:c r="J23" s="355"/>
      <x:c r="K23" s="355"/>
      <x:c r="L23" s="355"/>
      <x:c r="M23" s="355"/>
      <x:c r="N23" s="355"/>
      <x:c r="O23" s="355"/>
      <x:c r="P23" s="355"/>
    </x:row>
    <x:row r="24" ht="56" customHeight="1">
      <x:c r="A24" s="362" t="n">
        <x:v>14</x:v>
      </x:c>
      <x:c r="B24" s="363" t="str">
        <x:v>G7 / R12 · Latvia GA</x:v>
      </x:c>
      <x:c r="C24" s="363" t="str">
        <x:v>Открыть только evidence-backed функции после cohort observation window.</x:v>
      </x:c>
      <x:c r="D24" s="363" t="str">
        <x:v>R11 завершён; G7 passed; SLO/error-budget/cost/support thresholds приняты.</x:v>
      </x:c>
      <x:c r="E24" s="363" t="str">
        <x:v>Latvia GA зафиксирован по точному feature profile; отключённое не заявляется готовым.</x:v>
      </x:c>
      <x:c r="F24" s="362" t="str">
        <x:v>План</x:v>
      </x:c>
      <x:c r="G24" s="363" t="str">
        <x:v>R11/G7 отсутствуют.</x:v>
      </x:c>
      <x:c r="H24" s="363" t="str">
        <x:v>M10 после market observation</x:v>
      </x:c>
      <x:c r="I24" s="363" t="str">
        <x:v>docs/product/RECHARGE_BACKEND_LATVIA_IMPLEMENTATION_ROADMAP.md</x:v>
      </x:c>
      <x:c r="J24" s="355"/>
      <x:c r="K24" s="355"/>
      <x:c r="L24" s="355"/>
      <x:c r="M24" s="355"/>
      <x:c r="N24" s="355"/>
      <x:c r="O24" s="355"/>
      <x:c r="P24" s="355"/>
    </x:row>
    <x:row r="25" ht="56" customHeight="1">
      <x:c r="A25" s="366" t="n">
        <x:v>15</x:v>
      </x:c>
      <x:c r="B25" s="365" t="str">
        <x:v>M10 · Legacy cleanup</x:v>
      </x:c>
      <x:c r="C25" s="365" t="str">
        <x:v>Удалить compatibility routes/adapters/legacy schemas только после consumer-zero evidence и наблюдения по рынкам.</x:v>
      </x:c>
      <x:c r="D25" s="365" t="str">
        <x:v>Latvia и затронутые EE/LT cohort/GA paths завершены; rollback window закрыт.</x:v>
      </x:c>
      <x:c r="E25" s="365" t="str">
        <x:v>Нет legacy consumers; cleanup тестируем и обратимо мигрирован; без скрытого data loss.</x:v>
      </x:c>
      <x:c r="F25" s="366" t="str">
        <x:v>План</x:v>
      </x:c>
      <x:c r="G25" s="365" t="str">
        <x:v>До GA и observation cleanup запрещён.</x:v>
      </x:c>
      <x:c r="H25" s="365" t="str">
        <x:v>Поддержка и новые версии</x:v>
      </x:c>
      <x:c r="I25" s="365" t="str">
        <x:v>Architecture roadmap; SCN-BND-ENTRY-NOTIF-01</x:v>
      </x:c>
      <x:c r="J25" s="355"/>
      <x:c r="K25" s="355"/>
      <x:c r="L25" s="355"/>
      <x:c r="M25" s="355"/>
      <x:c r="N25" s="355"/>
      <x:c r="O25" s="355"/>
      <x:c r="P25" s="355"/>
    </x:row>
  </x:sheetData>
  <x:mergeCells>
    <x:mergeCell ref="A1:P1"/>
    <x:mergeCell ref="A2:P2"/>
    <x:mergeCell ref="A3:C3"/>
    <x:mergeCell ref="H5:I5"/>
    <x:mergeCell ref="A7:P7"/>
  </x:mergeCells>
  <x:conditionalFormatting sqref="F10:F25">
    <x:cfRule type="containsText" dxfId="316" priority="1" operator="containsText" text="Готово"/>
    <x:cfRule type="containsText" dxfId="317" priority="2" operator="containsText" text="В работе"/>
    <x:cfRule type="containsText" dxfId="318" priority="3" operator="containsText" text="Частично"/>
    <x:cfRule type="containsText" dxfId="319" priority="4" operator="containsText" text="План"/>
    <x:cfRule type="containsText" dxfId="320" priority="5" operator="containsText" text="Заблокировано"/>
  </x:conditionalFormatting>
  <x:dataValidations count="1">
    <x:dataValidation type="list" sqref="F10:F25">
      <x:formula1>"Готово,В работе,Частично,План,Заблокировано"</x:formula1>
    </x:dataValidation>
  </x:dataValidations>
  <x:pageMargins left="0.7" right="0.7" top="0.75" bottom="0.75" header="0.3" footer="0.3"/>
</x:worksheet>
</file>